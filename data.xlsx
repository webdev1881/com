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r\odoo18\custom_addons\com\"/>
    </mc:Choice>
  </mc:AlternateContent>
  <xr:revisionPtr revIDLastSave="0" documentId="13_ncr:1_{CD22BD56-5CBB-4C45-944D-2500ED839D0C}" xr6:coauthVersionLast="47" xr6:coauthVersionMax="47" xr10:uidLastSave="{00000000-0000-0000-0000-000000000000}"/>
  <bookViews>
    <workbookView xWindow="10410" yWindow="3045" windowWidth="28800" windowHeight="15345" xr2:uid="{FC0CED0A-9FCE-40DD-BE2D-447C6CC3E712}"/>
  </bookViews>
  <sheets>
    <sheet name="Лист1" sheetId="1" r:id="rId1"/>
    <sheet name="Лист2" sheetId="3" r:id="rId2"/>
    <sheet name="Лист1 (2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K18" i="1"/>
  <c r="J18" i="1"/>
  <c r="I18" i="1"/>
  <c r="H18" i="1"/>
  <c r="K17" i="1"/>
  <c r="J17" i="1"/>
  <c r="I17" i="1"/>
  <c r="H17" i="1"/>
  <c r="Q17" i="1" s="1"/>
  <c r="R17" i="1" s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Q6" i="1" s="1"/>
  <c r="R6" i="1" s="1"/>
  <c r="K5" i="1"/>
  <c r="J5" i="1"/>
  <c r="I5" i="1"/>
  <c r="H5" i="1"/>
  <c r="Q5" i="1" s="1"/>
  <c r="R5" i="1" s="1"/>
  <c r="K4" i="1"/>
  <c r="J4" i="1"/>
  <c r="I4" i="1"/>
  <c r="H4" i="1"/>
  <c r="K3" i="1"/>
  <c r="J3" i="1"/>
  <c r="I3" i="1"/>
  <c r="H3" i="1"/>
  <c r="Q3" i="1" s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R2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H36" i="1"/>
  <c r="H35" i="1"/>
  <c r="H34" i="1"/>
  <c r="H33" i="1"/>
  <c r="H32" i="1"/>
  <c r="H31" i="1"/>
  <c r="H30" i="1"/>
  <c r="Q30" i="1" s="1"/>
  <c r="R30" i="1" s="1"/>
  <c r="H29" i="1"/>
  <c r="H28" i="1"/>
  <c r="H27" i="1"/>
  <c r="H26" i="1"/>
  <c r="H25" i="1"/>
  <c r="H24" i="1"/>
  <c r="Q24" i="1" s="1"/>
  <c r="R24" i="1" s="1"/>
  <c r="H23" i="1"/>
  <c r="Q23" i="1" s="1"/>
  <c r="R23" i="1" s="1"/>
  <c r="H22" i="1"/>
  <c r="H21" i="1"/>
  <c r="H20" i="1"/>
  <c r="Q20" i="1" s="1"/>
  <c r="Q4" i="1"/>
  <c r="R4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/>
  <c r="Q13" i="1"/>
  <c r="R13" i="1" s="1"/>
  <c r="Q14" i="1"/>
  <c r="R14" i="1" s="1"/>
  <c r="Q15" i="1"/>
  <c r="R15" i="1" s="1"/>
  <c r="Q16" i="1"/>
  <c r="R16" i="1" s="1"/>
  <c r="Q18" i="1"/>
  <c r="R18" i="1" s="1"/>
  <c r="Q19" i="1"/>
  <c r="R19" i="1"/>
  <c r="Q21" i="1"/>
  <c r="R21" i="1"/>
  <c r="Q22" i="1"/>
  <c r="R22" i="1" s="1"/>
  <c r="Q25" i="1"/>
  <c r="Q26" i="1"/>
  <c r="Q27" i="1"/>
  <c r="Q28" i="1"/>
  <c r="R28" i="1"/>
  <c r="Q29" i="1"/>
  <c r="R29" i="1" s="1"/>
  <c r="Q31" i="1"/>
  <c r="Q32" i="1"/>
  <c r="Q33" i="1"/>
  <c r="Q34" i="1"/>
  <c r="R34" i="1"/>
  <c r="Q35" i="1"/>
  <c r="R35" i="1"/>
  <c r="Q36" i="1"/>
  <c r="R36" i="1" s="1"/>
  <c r="Q36" i="2"/>
  <c r="R36" i="2" s="1"/>
  <c r="Q35" i="2"/>
  <c r="R35" i="2" s="1"/>
  <c r="R34" i="2"/>
  <c r="Q34" i="2"/>
  <c r="Q33" i="2"/>
  <c r="R33" i="2" s="1"/>
  <c r="Q32" i="2"/>
  <c r="R32" i="2" s="1"/>
  <c r="Q31" i="2"/>
  <c r="R31" i="2" s="1"/>
  <c r="Q30" i="2"/>
  <c r="R30" i="2" s="1"/>
  <c r="R29" i="2"/>
  <c r="Q29" i="2"/>
  <c r="Q28" i="2"/>
  <c r="R28" i="2" s="1"/>
  <c r="Q27" i="2"/>
  <c r="R27" i="2" s="1"/>
  <c r="R26" i="2"/>
  <c r="Q26" i="2"/>
  <c r="Q25" i="2"/>
  <c r="R25" i="2" s="1"/>
  <c r="Q24" i="2"/>
  <c r="R24" i="2" s="1"/>
  <c r="Q23" i="2"/>
  <c r="R23" i="2" s="1"/>
  <c r="Q22" i="2"/>
  <c r="R22" i="2" s="1"/>
  <c r="R21" i="2"/>
  <c r="Q21" i="2"/>
  <c r="Q20" i="2"/>
  <c r="R20" i="2" s="1"/>
  <c r="Q19" i="2"/>
  <c r="R19" i="2" s="1"/>
  <c r="R18" i="2"/>
  <c r="Q18" i="2"/>
  <c r="Q17" i="2"/>
  <c r="R17" i="2" s="1"/>
  <c r="Q16" i="2"/>
  <c r="R16" i="2" s="1"/>
  <c r="Q15" i="2"/>
  <c r="R15" i="2" s="1"/>
  <c r="Q14" i="2"/>
  <c r="R14" i="2" s="1"/>
  <c r="R13" i="2"/>
  <c r="Q13" i="2"/>
  <c r="Q12" i="2"/>
  <c r="R12" i="2" s="1"/>
  <c r="Q11" i="2"/>
  <c r="R11" i="2" s="1"/>
  <c r="R10" i="2"/>
  <c r="Q10" i="2"/>
  <c r="Q9" i="2"/>
  <c r="R9" i="2" s="1"/>
  <c r="Q8" i="2"/>
  <c r="R8" i="2" s="1"/>
  <c r="Q7" i="2"/>
  <c r="R7" i="2" s="1"/>
  <c r="Q6" i="2"/>
  <c r="R6" i="2" s="1"/>
  <c r="R5" i="2"/>
  <c r="Q5" i="2"/>
  <c r="Q4" i="2"/>
  <c r="R4" i="2" s="1"/>
  <c r="Q3" i="2"/>
  <c r="R3" i="2" s="1"/>
  <c r="R3" i="1" l="1"/>
  <c r="R25" i="1"/>
  <c r="R33" i="1"/>
  <c r="R32" i="1"/>
  <c r="R31" i="1"/>
  <c r="R26" i="1"/>
  <c r="R20" i="1"/>
  <c r="S2" i="1"/>
  <c r="S2" i="2"/>
  <c r="T2" i="2"/>
  <c r="S33" i="2" s="1"/>
  <c r="T2" i="1" l="1"/>
  <c r="S23" i="1" s="1"/>
  <c r="S8" i="1"/>
  <c r="S5" i="1"/>
  <c r="S13" i="1"/>
  <c r="S3" i="1"/>
  <c r="S10" i="1"/>
  <c r="S18" i="1"/>
  <c r="S16" i="1"/>
  <c r="S11" i="1"/>
  <c r="S17" i="1"/>
  <c r="S14" i="1"/>
  <c r="S9" i="1"/>
  <c r="S4" i="1"/>
  <c r="S19" i="1"/>
  <c r="S6" i="1"/>
  <c r="S15" i="1"/>
  <c r="S7" i="1"/>
  <c r="S12" i="1"/>
  <c r="S25" i="2"/>
  <c r="S22" i="2"/>
  <c r="S5" i="2"/>
  <c r="S13" i="2"/>
  <c r="S18" i="2"/>
  <c r="S10" i="2"/>
  <c r="S15" i="2"/>
  <c r="S7" i="2"/>
  <c r="S11" i="2"/>
  <c r="S20" i="2"/>
  <c r="S35" i="2"/>
  <c r="S9" i="2"/>
  <c r="S12" i="2"/>
  <c r="S24" i="2"/>
  <c r="S19" i="2"/>
  <c r="S17" i="2"/>
  <c r="S14" i="2"/>
  <c r="S29" i="2"/>
  <c r="S21" i="2"/>
  <c r="S26" i="2"/>
  <c r="S31" i="2"/>
  <c r="S23" i="2"/>
  <c r="S3" i="2"/>
  <c r="S28" i="2"/>
  <c r="S30" i="2"/>
  <c r="S4" i="2"/>
  <c r="S27" i="2"/>
  <c r="S34" i="2"/>
  <c r="S16" i="2"/>
  <c r="S36" i="2"/>
  <c r="S32" i="2"/>
  <c r="S8" i="2"/>
  <c r="S6" i="2"/>
  <c r="S35" i="1" l="1"/>
  <c r="S27" i="1"/>
  <c r="S28" i="1"/>
  <c r="S32" i="1"/>
  <c r="S22" i="1"/>
  <c r="S30" i="1"/>
  <c r="S21" i="1"/>
  <c r="S33" i="1"/>
  <c r="S24" i="1"/>
  <c r="S34" i="1"/>
  <c r="S36" i="1"/>
  <c r="S26" i="1"/>
  <c r="S20" i="1"/>
  <c r="S31" i="1"/>
  <c r="S29" i="1"/>
  <c r="S25" i="1"/>
</calcChain>
</file>

<file path=xl/sharedStrings.xml><?xml version="1.0" encoding="utf-8"?>
<sst xmlns="http://schemas.openxmlformats.org/spreadsheetml/2006/main" count="455" uniqueCount="85">
  <si>
    <t>Белая Церковь</t>
  </si>
  <si>
    <t>100 БЦ (РУЛЬКА)</t>
  </si>
  <si>
    <t>101 БЦ (ЩЕДРИК)</t>
  </si>
  <si>
    <t>102 БЦ (РУЛЬКА)</t>
  </si>
  <si>
    <t>87 БЦ (ЩЕДРИК) Грушевского</t>
  </si>
  <si>
    <t>Днепр</t>
  </si>
  <si>
    <t>001 Днепр (РУЛЬКА)</t>
  </si>
  <si>
    <t>Киев</t>
  </si>
  <si>
    <t>108 Киев (РУЛЬКА)</t>
  </si>
  <si>
    <t>Харьков</t>
  </si>
  <si>
    <t>199 Первомайский (РУЛЬКА)</t>
  </si>
  <si>
    <t>210 Люботин (ЩЕДРИК)</t>
  </si>
  <si>
    <t>220 Ольшаны (РУЛЬКА)</t>
  </si>
  <si>
    <t>222 Лозовая (РУЛЬКА)</t>
  </si>
  <si>
    <t>229 Красноград (РУЛЬКА)</t>
  </si>
  <si>
    <t>230 Чугуев (РУЛЬКА)</t>
  </si>
  <si>
    <t>235 Харьков (РУЛЬКА)</t>
  </si>
  <si>
    <t>240 Богодухов (РУЛЬКА)</t>
  </si>
  <si>
    <t>267 Пересичное (РУЛЬКА)</t>
  </si>
  <si>
    <t>271 Горького (ЩЕДРИК)</t>
  </si>
  <si>
    <t>282 Максимовка (ЩЕДРИК)</t>
  </si>
  <si>
    <t>region_1</t>
  </si>
  <si>
    <t>region_2</t>
  </si>
  <si>
    <t>region_3</t>
  </si>
  <si>
    <t>region_4</t>
  </si>
  <si>
    <t>#cbb86d</t>
  </si>
  <si>
    <t>#3498db</t>
  </si>
  <si>
    <t>#82cda2</t>
  </si>
  <si>
    <t>#b77</t>
  </si>
  <si>
    <t>region_id</t>
  </si>
  <si>
    <t>region_color</t>
  </si>
  <si>
    <t>region_name</t>
  </si>
  <si>
    <t>stores_name</t>
  </si>
  <si>
    <t>store_id</t>
  </si>
  <si>
    <t>store_2</t>
  </si>
  <si>
    <t>store_3</t>
  </si>
  <si>
    <t>store_1</t>
  </si>
  <si>
    <t>store_4</t>
  </si>
  <si>
    <t>store_8</t>
  </si>
  <si>
    <t>store_5</t>
  </si>
  <si>
    <t>store_6</t>
  </si>
  <si>
    <t>store_7</t>
  </si>
  <si>
    <t>store_9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</si>
  <si>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</si>
  <si>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</si>
  <si>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</si>
  <si>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</si>
  <si>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</si>
  <si>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</si>
  <si>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</si>
  <si>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</si>
  <si>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Plan</t>
  </si>
  <si>
    <t>Fact</t>
  </si>
  <si>
    <t>periodData</t>
  </si>
  <si>
    <t>losses</t>
  </si>
  <si>
    <t>shortages</t>
  </si>
  <si>
    <t>fop</t>
  </si>
  <si>
    <t>shiftRemainder</t>
  </si>
  <si>
    <t>period_1</t>
  </si>
  <si>
    <t>period_2</t>
  </si>
  <si>
    <t>negative</t>
  </si>
  <si>
    <t>Регион</t>
  </si>
  <si>
    <t>Выторг</t>
  </si>
  <si>
    <t>Списания</t>
  </si>
  <si>
    <t>Недостачи инвент</t>
  </si>
  <si>
    <t>Зарплаты</t>
  </si>
  <si>
    <t>Магазин</t>
  </si>
  <si>
    <t>Выторг1недели</t>
  </si>
  <si>
    <t>Выторг2недели</t>
  </si>
  <si>
    <t>Списания1недели</t>
  </si>
  <si>
    <t>Списания2недели</t>
  </si>
  <si>
    <t>Недостачи инвент1неделя</t>
  </si>
  <si>
    <t>Недостачи инвент2неделя</t>
  </si>
  <si>
    <t>Проц недост инвент</t>
  </si>
  <si>
    <t>Зарплаты прод1 неделя</t>
  </si>
  <si>
    <t>Зарплаты прод2 неделя</t>
  </si>
  <si>
    <t>Проц зарплат</t>
  </si>
  <si>
    <t>113 БЦ (ДАН)</t>
  </si>
  <si>
    <t>001 Днепр Транзитный</t>
  </si>
  <si>
    <t>013 Борисполь</t>
  </si>
  <si>
    <t>112 Борисполь</t>
  </si>
  <si>
    <t>132 Борисполь</t>
  </si>
  <si>
    <t>211 Богодухов</t>
  </si>
  <si>
    <t>234 Богодухов Кондитерка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</si>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</sst>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₴_-;\-* #,##0.00\ _₴_-;_-* &quot;-&quot;??\ _₴_-;_-@_-"/>
    <numFmt numFmtId="166" formatCode="0.0%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0"/>
      <color rgb="FFFFFFFF"/>
      <name val="Arial"/>
      <family val="2"/>
    </font>
    <font>
      <b/>
      <sz val="8"/>
      <color rgb="FF003366"/>
      <name val="Arial"/>
      <family val="2"/>
    </font>
    <font>
      <sz val="8"/>
      <name val="Aptos Narrow"/>
      <family val="2"/>
      <charset val="204"/>
      <scheme val="minor"/>
    </font>
    <font>
      <sz val="8"/>
      <name val="Arial"/>
      <family val="2"/>
    </font>
    <font>
      <b/>
      <sz val="10"/>
      <color indexed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2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D8AB9"/>
      </left>
      <right style="thin">
        <color rgb="FF7D8AB9"/>
      </right>
      <top style="medium">
        <color indexed="64"/>
      </top>
      <bottom style="thin">
        <color rgb="FF7D8AB9"/>
      </bottom>
      <diagonal/>
    </border>
    <border>
      <left style="thin">
        <color rgb="FF7D8AB9"/>
      </left>
      <right style="medium">
        <color indexed="64"/>
      </right>
      <top style="medium">
        <color indexed="64"/>
      </top>
      <bottom style="thin">
        <color rgb="FF7D8AB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thin">
        <color rgb="FF7D8AB9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medium">
        <color indexed="64"/>
      </bottom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D8AB9"/>
      </left>
      <right style="thin">
        <color rgb="FF7D8AB9"/>
      </right>
      <top/>
      <bottom style="thin">
        <color rgb="FF7D8AB9"/>
      </bottom>
      <diagonal/>
    </border>
    <border>
      <left style="thin">
        <color rgb="FF7D8AB9"/>
      </left>
      <right style="medium">
        <color indexed="64"/>
      </right>
      <top/>
      <bottom style="thin">
        <color rgb="FF7D8AB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8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" fontId="0" fillId="0" borderId="1" xfId="0" applyNumberFormat="1" applyBorder="1" applyAlignment="1">
      <alignment horizontal="center"/>
    </xf>
    <xf numFmtId="0" fontId="3" fillId="6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164" fontId="0" fillId="0" borderId="2" xfId="1" applyNumberFormat="1" applyFont="1" applyBorder="1" applyAlignment="1">
      <alignment horizontal="left" vertical="top" wrapText="1" indent="2"/>
    </xf>
    <xf numFmtId="164" fontId="0" fillId="0" borderId="2" xfId="1" applyNumberFormat="1" applyFont="1" applyBorder="1" applyAlignment="1">
      <alignment horizontal="right" vertical="top"/>
    </xf>
    <xf numFmtId="164" fontId="0" fillId="0" borderId="3" xfId="1" applyNumberFormat="1" applyFont="1" applyBorder="1" applyAlignment="1">
      <alignment horizontal="right" vertical="top"/>
    </xf>
    <xf numFmtId="10" fontId="0" fillId="0" borderId="1" xfId="2" applyNumberFormat="1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3" fillId="6" borderId="7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 indent="2"/>
    </xf>
    <xf numFmtId="164" fontId="0" fillId="0" borderId="7" xfId="1" applyNumberFormat="1" applyFont="1" applyBorder="1" applyAlignment="1">
      <alignment horizontal="left" vertical="top" wrapText="1" indent="2"/>
    </xf>
    <xf numFmtId="164" fontId="0" fillId="0" borderId="7" xfId="1" applyNumberFormat="1" applyFont="1" applyBorder="1" applyAlignment="1">
      <alignment horizontal="right" vertical="top"/>
    </xf>
    <xf numFmtId="164" fontId="0" fillId="0" borderId="8" xfId="1" applyNumberFormat="1" applyFont="1" applyBorder="1" applyAlignment="1">
      <alignment horizontal="right" vertical="top"/>
    </xf>
    <xf numFmtId="10" fontId="0" fillId="0" borderId="6" xfId="2" applyNumberFormat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3" fillId="6" borderId="11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 indent="2"/>
    </xf>
    <xf numFmtId="164" fontId="0" fillId="0" borderId="11" xfId="1" applyNumberFormat="1" applyFont="1" applyBorder="1" applyAlignment="1">
      <alignment horizontal="left" vertical="top" wrapText="1" indent="2"/>
    </xf>
    <xf numFmtId="164" fontId="0" fillId="0" borderId="11" xfId="1" applyNumberFormat="1" applyFont="1" applyBorder="1" applyAlignment="1">
      <alignment horizontal="right" vertical="top"/>
    </xf>
    <xf numFmtId="164" fontId="0" fillId="0" borderId="12" xfId="1" applyNumberFormat="1" applyFont="1" applyBorder="1" applyAlignment="1">
      <alignment horizontal="right" vertical="top"/>
    </xf>
    <xf numFmtId="10" fontId="0" fillId="0" borderId="10" xfId="2" applyNumberFormat="1" applyFont="1" applyBorder="1" applyAlignment="1">
      <alignment horizontal="center"/>
    </xf>
    <xf numFmtId="10" fontId="0" fillId="0" borderId="13" xfId="2" applyNumberFormat="1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0" fontId="0" fillId="0" borderId="15" xfId="0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left" vertical="top" wrapText="1"/>
    </xf>
    <xf numFmtId="164" fontId="0" fillId="0" borderId="15" xfId="1" applyNumberFormat="1" applyFont="1" applyBorder="1" applyAlignment="1">
      <alignment horizontal="left" vertical="top" wrapText="1" indent="2"/>
    </xf>
    <xf numFmtId="164" fontId="0" fillId="0" borderId="15" xfId="1" applyNumberFormat="1" applyFont="1" applyBorder="1" applyAlignment="1">
      <alignment horizontal="right" vertical="top"/>
    </xf>
    <xf numFmtId="164" fontId="0" fillId="0" borderId="16" xfId="1" applyNumberFormat="1" applyFont="1" applyBorder="1" applyAlignment="1">
      <alignment horizontal="right" vertical="top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2" applyNumberFormat="1" applyFont="1"/>
    <xf numFmtId="1" fontId="0" fillId="0" borderId="0" xfId="0" applyNumberFormat="1"/>
    <xf numFmtId="166" fontId="0" fillId="0" borderId="0" xfId="0" applyNumberFormat="1"/>
    <xf numFmtId="17" fontId="0" fillId="7" borderId="6" xfId="0" applyNumberFormat="1" applyFill="1" applyBorder="1" applyAlignment="1">
      <alignment horizontal="center"/>
    </xf>
    <xf numFmtId="0" fontId="0" fillId="7" borderId="7" xfId="0" applyFill="1" applyBorder="1" applyAlignment="1">
      <alignment horizontal="left" vertical="top" wrapText="1" indent="2"/>
    </xf>
    <xf numFmtId="0" fontId="3" fillId="7" borderId="7" xfId="0" applyFont="1" applyFill="1" applyBorder="1" applyAlignment="1">
      <alignment horizontal="left" vertical="top" wrapText="1"/>
    </xf>
    <xf numFmtId="164" fontId="0" fillId="7" borderId="7" xfId="1" applyNumberFormat="1" applyFont="1" applyFill="1" applyBorder="1" applyAlignment="1">
      <alignment horizontal="left" vertical="top" wrapText="1" indent="2"/>
    </xf>
    <xf numFmtId="164" fontId="0" fillId="7" borderId="7" xfId="1" applyNumberFormat="1" applyFont="1" applyFill="1" applyBorder="1" applyAlignment="1">
      <alignment horizontal="right" vertical="top"/>
    </xf>
    <xf numFmtId="164" fontId="0" fillId="7" borderId="8" xfId="1" applyNumberFormat="1" applyFont="1" applyFill="1" applyBorder="1" applyAlignment="1">
      <alignment horizontal="right" vertical="top"/>
    </xf>
    <xf numFmtId="10" fontId="0" fillId="7" borderId="6" xfId="2" applyNumberFormat="1" applyFont="1" applyFill="1" applyBorder="1" applyAlignment="1">
      <alignment horizontal="center"/>
    </xf>
    <xf numFmtId="10" fontId="0" fillId="7" borderId="0" xfId="2" applyNumberFormat="1" applyFont="1" applyFill="1" applyBorder="1" applyAlignment="1">
      <alignment horizontal="center"/>
    </xf>
    <xf numFmtId="10" fontId="0" fillId="7" borderId="9" xfId="2" applyNumberFormat="1" applyFont="1" applyFill="1" applyBorder="1" applyAlignment="1">
      <alignment horizontal="center"/>
    </xf>
    <xf numFmtId="165" fontId="0" fillId="7" borderId="0" xfId="0" applyNumberFormat="1" applyFill="1"/>
    <xf numFmtId="166" fontId="0" fillId="7" borderId="0" xfId="2" applyNumberFormat="1" applyFont="1" applyFill="1"/>
    <xf numFmtId="1" fontId="0" fillId="7" borderId="0" xfId="0" applyNumberFormat="1" applyFill="1"/>
    <xf numFmtId="0" fontId="0" fillId="7" borderId="0" xfId="0" applyFill="1"/>
    <xf numFmtId="1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6" fillId="8" borderId="23" xfId="3" applyNumberFormat="1" applyFont="1" applyFill="1" applyBorder="1" applyAlignment="1">
      <alignment vertical="top" wrapText="1"/>
    </xf>
    <xf numFmtId="0" fontId="6" fillId="8" borderId="23" xfId="3" applyNumberFormat="1" applyFont="1" applyFill="1" applyBorder="1" applyAlignment="1">
      <alignment vertical="top" wrapText="1"/>
    </xf>
    <xf numFmtId="0" fontId="5" fillId="0" borderId="24" xfId="3" applyNumberFormat="1" applyFont="1" applyBorder="1" applyAlignment="1">
      <alignment vertical="top" wrapText="1" indent="2"/>
    </xf>
    <xf numFmtId="4" fontId="5" fillId="0" borderId="24" xfId="3" applyNumberFormat="1" applyFont="1" applyBorder="1" applyAlignment="1">
      <alignment horizontal="right" vertical="top"/>
    </xf>
    <xf numFmtId="2" fontId="5" fillId="9" borderId="24" xfId="3" applyNumberFormat="1" applyFont="1" applyFill="1" applyBorder="1" applyAlignment="1">
      <alignment horizontal="right" vertical="top"/>
    </xf>
    <xf numFmtId="2" fontId="5" fillId="10" borderId="24" xfId="3" applyNumberFormat="1" applyFont="1" applyFill="1" applyBorder="1" applyAlignment="1">
      <alignment horizontal="right" vertical="top"/>
    </xf>
    <xf numFmtId="2" fontId="5" fillId="0" borderId="24" xfId="3" applyNumberFormat="1" applyFont="1" applyBorder="1" applyAlignment="1">
      <alignment horizontal="right" vertical="top"/>
    </xf>
    <xf numFmtId="2" fontId="5" fillId="11" borderId="24" xfId="3" applyNumberFormat="1" applyFont="1" applyFill="1" applyBorder="1" applyAlignment="1">
      <alignment horizontal="right" vertical="top"/>
    </xf>
    <xf numFmtId="4" fontId="5" fillId="10" borderId="24" xfId="3" applyNumberFormat="1" applyFont="1" applyFill="1" applyBorder="1" applyAlignment="1">
      <alignment horizontal="right" vertical="top"/>
    </xf>
    <xf numFmtId="0" fontId="5" fillId="0" borderId="24" xfId="3" applyNumberFormat="1" applyFont="1" applyBorder="1" applyAlignment="1">
      <alignment horizontal="right" vertical="top"/>
    </xf>
    <xf numFmtId="0" fontId="6" fillId="12" borderId="23" xfId="3" applyNumberFormat="1" applyFont="1" applyFill="1" applyBorder="1" applyAlignment="1">
      <alignment vertical="top"/>
    </xf>
    <xf numFmtId="4" fontId="6" fillId="12" borderId="23" xfId="3" applyNumberFormat="1" applyFont="1" applyFill="1" applyBorder="1" applyAlignment="1">
      <alignment horizontal="right" vertical="top"/>
    </xf>
    <xf numFmtId="2" fontId="6" fillId="9" borderId="23" xfId="3" applyNumberFormat="1" applyFont="1" applyFill="1" applyBorder="1" applyAlignment="1">
      <alignment horizontal="right" vertical="top"/>
    </xf>
    <xf numFmtId="2" fontId="6" fillId="10" borderId="23" xfId="3" applyNumberFormat="1" applyFont="1" applyFill="1" applyBorder="1" applyAlignment="1">
      <alignment horizontal="right" vertical="top"/>
    </xf>
  </cellXfs>
  <cellStyles count="4">
    <cellStyle name="Обычный" xfId="0" builtinId="0"/>
    <cellStyle name="Обычный_Лист2" xfId="3" xr:uid="{A9E29F9F-DE18-4BEA-8688-145E7F08D944}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6E24-B730-4B07-BF1F-2046EA212C85}">
  <dimension ref="A1:T36"/>
  <sheetViews>
    <sheetView tabSelected="1" zoomScale="85" zoomScaleNormal="85" workbookViewId="0">
      <pane ySplit="2" topLeftCell="A3" activePane="bottomLeft" state="frozen"/>
      <selection pane="bottomLeft" activeCell="E41" sqref="E41"/>
    </sheetView>
  </sheetViews>
  <sheetFormatPr defaultRowHeight="15" x14ac:dyDescent="0.25"/>
  <cols>
    <col min="1" max="1" width="15.85546875" customWidth="1"/>
    <col min="2" max="2" width="21.28515625" style="1" customWidth="1"/>
    <col min="3" max="4" width="15.85546875" customWidth="1"/>
    <col min="5" max="5" width="30.28515625" style="1" customWidth="1"/>
    <col min="6" max="6" width="15.85546875" customWidth="1"/>
    <col min="7" max="7" width="19.28515625" style="1" customWidth="1"/>
    <col min="8" max="8" width="15.140625" style="1" customWidth="1"/>
    <col min="9" max="12" width="15.7109375" style="1" customWidth="1"/>
    <col min="13" max="15" width="13.28515625" style="2" customWidth="1"/>
    <col min="16" max="16" width="16.7109375" style="2" customWidth="1"/>
    <col min="17" max="17" width="15.28515625" customWidth="1"/>
    <col min="18" max="18" width="13.28515625" customWidth="1"/>
  </cols>
  <sheetData>
    <row r="1" spans="1:20" x14ac:dyDescent="0.25">
      <c r="A1" s="35" t="s">
        <v>53</v>
      </c>
      <c r="B1" s="36" t="s">
        <v>31</v>
      </c>
      <c r="C1" s="36" t="s">
        <v>29</v>
      </c>
      <c r="D1" s="36" t="s">
        <v>30</v>
      </c>
      <c r="E1" s="36" t="s">
        <v>32</v>
      </c>
      <c r="F1" s="36" t="s">
        <v>33</v>
      </c>
      <c r="G1" s="37" t="s">
        <v>51</v>
      </c>
      <c r="H1" s="37" t="s">
        <v>52</v>
      </c>
      <c r="I1" s="38" t="s">
        <v>54</v>
      </c>
      <c r="J1" s="38" t="s">
        <v>55</v>
      </c>
      <c r="K1" s="38" t="s">
        <v>56</v>
      </c>
      <c r="L1" s="38" t="s">
        <v>57</v>
      </c>
      <c r="M1" s="39" t="s">
        <v>54</v>
      </c>
      <c r="N1" s="39" t="s">
        <v>55</v>
      </c>
      <c r="O1" s="39" t="s">
        <v>56</v>
      </c>
      <c r="P1" s="40" t="s">
        <v>57</v>
      </c>
    </row>
    <row r="2" spans="1:20" ht="15.75" thickBot="1" x14ac:dyDescent="0.3">
      <c r="A2" s="41"/>
      <c r="B2" s="42"/>
      <c r="C2" s="42"/>
      <c r="D2" s="42"/>
      <c r="E2" s="42"/>
      <c r="F2" s="42"/>
      <c r="G2" s="43">
        <v>100</v>
      </c>
      <c r="H2" s="43"/>
      <c r="I2" s="44" t="s">
        <v>60</v>
      </c>
      <c r="J2" s="44" t="s">
        <v>60</v>
      </c>
      <c r="K2" s="44" t="s">
        <v>60</v>
      </c>
      <c r="L2" s="44" t="s">
        <v>60</v>
      </c>
      <c r="M2" s="45">
        <v>20</v>
      </c>
      <c r="N2" s="45">
        <v>100</v>
      </c>
      <c r="O2" s="45">
        <v>15</v>
      </c>
      <c r="P2" s="46">
        <v>10</v>
      </c>
      <c r="S2" s="48">
        <f>MAX(R3:R19)</f>
        <v>1.855902181806578</v>
      </c>
      <c r="T2" s="50">
        <f>MAX(R20:R36)</f>
        <v>1.3018578713375026</v>
      </c>
    </row>
    <row r="3" spans="1:20" x14ac:dyDescent="0.25">
      <c r="A3" s="64">
        <v>1</v>
      </c>
      <c r="B3" s="5" t="s">
        <v>0</v>
      </c>
      <c r="C3" s="31" t="s">
        <v>22</v>
      </c>
      <c r="D3" s="31" t="s">
        <v>26</v>
      </c>
      <c r="E3" s="30" t="s">
        <v>1</v>
      </c>
      <c r="F3" s="31" t="s">
        <v>36</v>
      </c>
      <c r="G3" s="32">
        <v>19591959</v>
      </c>
      <c r="H3" s="7">
        <f>VLOOKUP(E3,Лист2!A:K,3,0)</f>
        <v>23351606.629999999</v>
      </c>
      <c r="I3" s="7">
        <f>VLOOKUP(E3,Лист2!A:K,5,0)</f>
        <v>340116.97</v>
      </c>
      <c r="J3" s="7">
        <f>VLOOKUP(E3,Лист2!A:K,7,0)</f>
        <v>905066.28</v>
      </c>
      <c r="K3" s="7">
        <f>VLOOKUP(E3,Лист2!A:K,10,0)</f>
        <v>1183687.8500000001</v>
      </c>
      <c r="L3" s="34">
        <v>415908.174</v>
      </c>
      <c r="M3" s="18">
        <v>1.2800000000000001E-2</v>
      </c>
      <c r="N3" s="19">
        <v>1.5990000000000002E-3</v>
      </c>
      <c r="O3" s="19">
        <v>0.05</v>
      </c>
      <c r="P3" s="20">
        <v>2E-3</v>
      </c>
      <c r="Q3" s="47">
        <f>H3*O3</f>
        <v>1167580.3315000001</v>
      </c>
      <c r="R3" s="48">
        <f>IF(Q3/K3&gt;2,2,Q3/K3)</f>
        <v>0.98639208935024547</v>
      </c>
      <c r="S3" s="49">
        <f>R3/$S$2*$O$2</f>
        <v>7.9723389978727379</v>
      </c>
    </row>
    <row r="4" spans="1:20" x14ac:dyDescent="0.25">
      <c r="A4" s="65">
        <v>1</v>
      </c>
      <c r="B4" s="14" t="s">
        <v>0</v>
      </c>
      <c r="C4" s="13" t="s">
        <v>22</v>
      </c>
      <c r="D4" s="13" t="s">
        <v>26</v>
      </c>
      <c r="E4" s="14" t="s">
        <v>2</v>
      </c>
      <c r="F4" s="13" t="s">
        <v>34</v>
      </c>
      <c r="G4" s="15">
        <v>1938784</v>
      </c>
      <c r="H4" s="16">
        <f>VLOOKUP(E4,Лист2!A:K,3,0)</f>
        <v>2507130.58</v>
      </c>
      <c r="I4" s="16">
        <f>VLOOKUP(E4,Лист2!A:K,5,0)</f>
        <v>906.39</v>
      </c>
      <c r="J4" s="16">
        <f>VLOOKUP(E4,Лист2!A:K,7,0)</f>
        <v>72053.38</v>
      </c>
      <c r="K4" s="16">
        <f>VLOOKUP(E4,Лист2!A:K,10,0)</f>
        <v>134775</v>
      </c>
      <c r="L4" s="17">
        <v>12052.344999999999</v>
      </c>
      <c r="M4" s="18">
        <v>1.15E-2</v>
      </c>
      <c r="N4" s="19">
        <v>1.0660000000000001E-3</v>
      </c>
      <c r="O4" s="19">
        <v>0.05</v>
      </c>
      <c r="P4" s="20">
        <v>1.03E-2</v>
      </c>
      <c r="Q4" s="47">
        <f t="shared" ref="Q4:Q19" si="0">H4*O4</f>
        <v>125356.52900000001</v>
      </c>
      <c r="R4" s="48">
        <f t="shared" ref="R4:R36" si="1">IF(Q4/K4&gt;2,2,Q4/K4)</f>
        <v>0.93011707660916354</v>
      </c>
      <c r="S4" s="49">
        <f t="shared" ref="S4:S19" si="2">R4/$S$2*$O$2</f>
        <v>7.517506195049835</v>
      </c>
    </row>
    <row r="5" spans="1:20" x14ac:dyDescent="0.25">
      <c r="A5" s="65">
        <v>1</v>
      </c>
      <c r="B5" s="14" t="s">
        <v>0</v>
      </c>
      <c r="C5" s="13" t="s">
        <v>22</v>
      </c>
      <c r="D5" s="13" t="s">
        <v>26</v>
      </c>
      <c r="E5" s="14" t="s">
        <v>3</v>
      </c>
      <c r="F5" s="13" t="s">
        <v>35</v>
      </c>
      <c r="G5" s="15">
        <v>22755058</v>
      </c>
      <c r="H5" s="16">
        <f>VLOOKUP(E5,Лист2!A:K,3,0)</f>
        <v>17154613.550000001</v>
      </c>
      <c r="I5" s="16">
        <f>VLOOKUP(E5,Лист2!A:K,5,0)</f>
        <v>219251.72</v>
      </c>
      <c r="J5" s="16">
        <f>VLOOKUP(E5,Лист2!A:K,7,0)</f>
        <v>26162.53</v>
      </c>
      <c r="K5" s="16">
        <f>VLOOKUP(E5,Лист2!A:K,10,0)</f>
        <v>950479.86</v>
      </c>
      <c r="L5" s="17">
        <v>355339.39600000001</v>
      </c>
      <c r="M5" s="18">
        <v>7.7000000000000002E-3</v>
      </c>
      <c r="N5" s="19">
        <v>1.9E-3</v>
      </c>
      <c r="O5" s="19">
        <v>0.05</v>
      </c>
      <c r="P5" s="20">
        <v>6.1999999999999998E-3</v>
      </c>
      <c r="Q5" s="47">
        <f t="shared" si="0"/>
        <v>857730.67750000011</v>
      </c>
      <c r="R5" s="48">
        <f t="shared" si="1"/>
        <v>0.90241857149924265</v>
      </c>
      <c r="S5" s="49">
        <f t="shared" si="2"/>
        <v>7.2936379434136525</v>
      </c>
    </row>
    <row r="6" spans="1:20" ht="16.5" customHeight="1" x14ac:dyDescent="0.25">
      <c r="A6" s="65">
        <v>1</v>
      </c>
      <c r="B6" s="14" t="s">
        <v>0</v>
      </c>
      <c r="C6" s="13" t="s">
        <v>22</v>
      </c>
      <c r="D6" s="13" t="s">
        <v>26</v>
      </c>
      <c r="E6" s="14" t="s">
        <v>4</v>
      </c>
      <c r="F6" s="13" t="s">
        <v>37</v>
      </c>
      <c r="G6" s="15">
        <v>2686986</v>
      </c>
      <c r="H6" s="16">
        <f>VLOOKUP(E6,Лист2!A:K,3,0)</f>
        <v>3261158.66</v>
      </c>
      <c r="I6" s="16">
        <f>VLOOKUP(E6,Лист2!A:K,5,0)</f>
        <v>11393.01</v>
      </c>
      <c r="J6" s="16">
        <f>VLOOKUP(E6,Лист2!A:K,7,0)</f>
        <v>69063.679999999993</v>
      </c>
      <c r="K6" s="16">
        <f>VLOOKUP(E6,Лист2!A:K,10,0)</f>
        <v>215080.68</v>
      </c>
      <c r="L6" s="17">
        <v>10297.922</v>
      </c>
      <c r="M6" s="18">
        <v>7.7000000000000002E-3</v>
      </c>
      <c r="N6" s="19">
        <v>1.9E-3</v>
      </c>
      <c r="O6" s="19">
        <v>0.05</v>
      </c>
      <c r="P6" s="20">
        <v>6.1999999999999998E-3</v>
      </c>
      <c r="Q6" s="47">
        <f t="shared" si="0"/>
        <v>163057.93300000002</v>
      </c>
      <c r="R6" s="48">
        <f t="shared" si="1"/>
        <v>0.75812450007132215</v>
      </c>
      <c r="S6" s="49">
        <f t="shared" si="2"/>
        <v>6.1274067203262801</v>
      </c>
    </row>
    <row r="7" spans="1:20" x14ac:dyDescent="0.25">
      <c r="A7" s="65">
        <v>1</v>
      </c>
      <c r="B7" s="14" t="s">
        <v>5</v>
      </c>
      <c r="C7" s="13" t="s">
        <v>23</v>
      </c>
      <c r="D7" s="13" t="s">
        <v>27</v>
      </c>
      <c r="E7" s="14" t="s">
        <v>6</v>
      </c>
      <c r="F7" s="13" t="s">
        <v>39</v>
      </c>
      <c r="G7" s="15">
        <v>9091366</v>
      </c>
      <c r="H7" s="16">
        <f>VLOOKUP(E7,Лист2!A:K,3,0)</f>
        <v>8996043.75</v>
      </c>
      <c r="I7" s="16">
        <f>VLOOKUP(E7,Лист2!A:K,5,0)</f>
        <v>152767.69</v>
      </c>
      <c r="J7" s="16">
        <f>VLOOKUP(E7,Лист2!A:K,7,0)</f>
        <v>7136.64</v>
      </c>
      <c r="K7" s="16">
        <f>VLOOKUP(E7,Лист2!A:K,10,0)</f>
        <v>634099.98</v>
      </c>
      <c r="L7" s="17">
        <v>280739.12400000001</v>
      </c>
      <c r="M7" s="18">
        <v>1.34E-2</v>
      </c>
      <c r="N7" s="19">
        <v>3.1980000000000003E-3</v>
      </c>
      <c r="O7" s="19">
        <v>0.05</v>
      </c>
      <c r="P7" s="20">
        <v>3.9000000000000003E-3</v>
      </c>
      <c r="Q7" s="47">
        <f t="shared" si="0"/>
        <v>449802.1875</v>
      </c>
      <c r="R7" s="48">
        <f t="shared" si="1"/>
        <v>0.7093553093945848</v>
      </c>
      <c r="S7" s="49">
        <f t="shared" si="2"/>
        <v>5.7332383922094596</v>
      </c>
    </row>
    <row r="8" spans="1:20" x14ac:dyDescent="0.25">
      <c r="A8" s="65">
        <v>1</v>
      </c>
      <c r="B8" s="14" t="s">
        <v>7</v>
      </c>
      <c r="C8" s="13" t="s">
        <v>21</v>
      </c>
      <c r="D8" s="13" t="s">
        <v>25</v>
      </c>
      <c r="E8" s="14" t="s">
        <v>8</v>
      </c>
      <c r="F8" s="13" t="s">
        <v>40</v>
      </c>
      <c r="G8" s="15">
        <v>6743579</v>
      </c>
      <c r="H8" s="16">
        <f>VLOOKUP(E8,Лист2!A:K,3,0)</f>
        <v>6642878.6900000004</v>
      </c>
      <c r="I8" s="16">
        <f>VLOOKUP(E8,Лист2!A:K,5,0)</f>
        <v>3409.33</v>
      </c>
      <c r="J8" s="16">
        <f>VLOOKUP(E8,Лист2!A:K,7,0)</f>
        <v>65470.52</v>
      </c>
      <c r="K8" s="16">
        <f>VLOOKUP(E8,Лист2!A:K,10,0)</f>
        <v>407617.55</v>
      </c>
      <c r="L8" s="17">
        <v>91207.59</v>
      </c>
      <c r="M8" s="18">
        <v>5.0000000000000001E-4</v>
      </c>
      <c r="N8" s="19">
        <v>1.0660000000000001E-3</v>
      </c>
      <c r="O8" s="19">
        <v>0.05</v>
      </c>
      <c r="P8" s="20">
        <v>1.1000000000000001E-2</v>
      </c>
      <c r="Q8" s="47">
        <f t="shared" si="0"/>
        <v>332143.93450000003</v>
      </c>
      <c r="R8" s="48">
        <f t="shared" si="1"/>
        <v>0.81484208543032566</v>
      </c>
      <c r="S8" s="49">
        <f t="shared" si="2"/>
        <v>6.5858165377860027</v>
      </c>
    </row>
    <row r="9" spans="1:20" x14ac:dyDescent="0.25">
      <c r="A9" s="65">
        <v>1</v>
      </c>
      <c r="B9" s="14" t="s">
        <v>9</v>
      </c>
      <c r="C9" s="13" t="s">
        <v>24</v>
      </c>
      <c r="D9" s="13" t="s">
        <v>28</v>
      </c>
      <c r="E9" s="14" t="s">
        <v>10</v>
      </c>
      <c r="F9" s="13" t="s">
        <v>41</v>
      </c>
      <c r="G9" s="15">
        <v>15993683</v>
      </c>
      <c r="H9" s="16">
        <f>VLOOKUP(E9,Лист2!A:K,3,0)</f>
        <v>16522919.58</v>
      </c>
      <c r="I9" s="16">
        <f>VLOOKUP(E9,Лист2!A:K,5,0)</f>
        <v>175749.88</v>
      </c>
      <c r="J9" s="16">
        <f>VLOOKUP(E9,Лист2!A:K,7,0)</f>
        <v>167844</v>
      </c>
      <c r="K9" s="16">
        <f>VLOOKUP(E9,Лист2!A:K,10,0)</f>
        <v>797764.07</v>
      </c>
      <c r="L9" s="17">
        <v>320983.74400000001</v>
      </c>
      <c r="M9" s="18">
        <v>9.1999999999999998E-3</v>
      </c>
      <c r="N9" s="19">
        <v>2.6650000000000003E-3</v>
      </c>
      <c r="O9" s="19">
        <v>0.05</v>
      </c>
      <c r="P9" s="20">
        <v>4.5999999999999999E-3</v>
      </c>
      <c r="Q9" s="47">
        <f>H9*O9</f>
        <v>826145.97900000005</v>
      </c>
      <c r="R9" s="48">
        <f t="shared" si="1"/>
        <v>1.0355768203499063</v>
      </c>
      <c r="S9" s="49">
        <f t="shared" si="2"/>
        <v>8.3698658568997306</v>
      </c>
    </row>
    <row r="10" spans="1:20" x14ac:dyDescent="0.25">
      <c r="A10" s="65">
        <v>1</v>
      </c>
      <c r="B10" s="14" t="s">
        <v>9</v>
      </c>
      <c r="C10" s="13" t="s">
        <v>24</v>
      </c>
      <c r="D10" s="13" t="s">
        <v>28</v>
      </c>
      <c r="E10" s="14" t="s">
        <v>11</v>
      </c>
      <c r="F10" s="13" t="s">
        <v>38</v>
      </c>
      <c r="G10" s="15">
        <v>3868280</v>
      </c>
      <c r="H10" s="16">
        <f>VLOOKUP(E10,Лист2!A:K,3,0)</f>
        <v>4053690.1</v>
      </c>
      <c r="I10" s="16">
        <f>VLOOKUP(E10,Лист2!A:K,5,0)</f>
        <v>36903.589999999997</v>
      </c>
      <c r="J10" s="16">
        <f>VLOOKUP(E10,Лист2!A:K,7,0)</f>
        <v>67225.78</v>
      </c>
      <c r="K10" s="16">
        <f>VLOOKUP(E10,Лист2!A:K,10,0)</f>
        <v>210064.82</v>
      </c>
      <c r="L10" s="17">
        <v>37777.313999999998</v>
      </c>
      <c r="M10" s="18">
        <v>9.0000000000000011E-3</v>
      </c>
      <c r="N10" s="19">
        <v>1.5990000000000002E-3</v>
      </c>
      <c r="O10" s="19">
        <v>0.05</v>
      </c>
      <c r="P10" s="20">
        <v>4.1999999999999997E-3</v>
      </c>
      <c r="Q10" s="47">
        <f t="shared" si="0"/>
        <v>202684.505</v>
      </c>
      <c r="R10" s="48">
        <f t="shared" si="1"/>
        <v>0.96486648740136494</v>
      </c>
      <c r="S10" s="49">
        <f t="shared" si="2"/>
        <v>7.7983621404723635</v>
      </c>
    </row>
    <row r="11" spans="1:20" x14ac:dyDescent="0.25">
      <c r="A11" s="65">
        <v>1</v>
      </c>
      <c r="B11" s="14" t="s">
        <v>9</v>
      </c>
      <c r="C11" s="13" t="s">
        <v>24</v>
      </c>
      <c r="D11" s="13" t="s">
        <v>28</v>
      </c>
      <c r="E11" s="14" t="s">
        <v>12</v>
      </c>
      <c r="F11" s="13" t="s">
        <v>42</v>
      </c>
      <c r="G11" s="15">
        <v>19794522</v>
      </c>
      <c r="H11" s="16">
        <f>VLOOKUP(E11,Лист2!A:K,3,0)</f>
        <v>20005520.420000002</v>
      </c>
      <c r="I11" s="16">
        <f>VLOOKUP(E11,Лист2!A:K,5,0)</f>
        <v>214768.75</v>
      </c>
      <c r="J11" s="16">
        <f>VLOOKUP(E11,Лист2!A:K,7,0)</f>
        <v>223063.28</v>
      </c>
      <c r="K11" s="16">
        <f>VLOOKUP(E11,Лист2!A:K,10,0)</f>
        <v>977675.27</v>
      </c>
      <c r="L11" s="17">
        <v>140024.65</v>
      </c>
      <c r="M11" s="18">
        <v>5.7999999999999996E-3</v>
      </c>
      <c r="N11" s="19">
        <v>1.0660000000000001E-3</v>
      </c>
      <c r="O11" s="19">
        <v>0.05</v>
      </c>
      <c r="P11" s="20">
        <v>4.8999999999999998E-3</v>
      </c>
      <c r="Q11" s="47">
        <f t="shared" si="0"/>
        <v>1000276.0210000002</v>
      </c>
      <c r="R11" s="48">
        <f t="shared" si="1"/>
        <v>1.0231168279422678</v>
      </c>
      <c r="S11" s="49">
        <f t="shared" si="2"/>
        <v>8.2691601796572787</v>
      </c>
    </row>
    <row r="12" spans="1:20" x14ac:dyDescent="0.25">
      <c r="A12" s="65">
        <v>1</v>
      </c>
      <c r="B12" s="14" t="s">
        <v>9</v>
      </c>
      <c r="C12" s="13" t="s">
        <v>24</v>
      </c>
      <c r="D12" s="13" t="s">
        <v>28</v>
      </c>
      <c r="E12" s="14" t="s">
        <v>13</v>
      </c>
      <c r="F12" s="13" t="s">
        <v>43</v>
      </c>
      <c r="G12" s="15">
        <v>21909086</v>
      </c>
      <c r="H12" s="16">
        <f>VLOOKUP(E12,Лист2!A:K,3,0)</f>
        <v>22951289.809999999</v>
      </c>
      <c r="I12" s="16">
        <f>VLOOKUP(E12,Лист2!A:K,5,0)</f>
        <v>240439.15</v>
      </c>
      <c r="J12" s="16">
        <f>VLOOKUP(E12,Лист2!A:K,7,0)</f>
        <v>8926.9500000000007</v>
      </c>
      <c r="K12" s="16">
        <f>VLOOKUP(E12,Лист2!A:K,10,0)</f>
        <v>1145454.28</v>
      </c>
      <c r="L12" s="17">
        <v>408158.78700000001</v>
      </c>
      <c r="M12" s="18">
        <v>6.8000000000000005E-3</v>
      </c>
      <c r="N12" s="19">
        <v>1.0660000000000001E-3</v>
      </c>
      <c r="O12" s="19">
        <v>0.05</v>
      </c>
      <c r="P12" s="20">
        <v>3.2000000000000002E-3</v>
      </c>
      <c r="Q12" s="47">
        <f t="shared" si="0"/>
        <v>1147564.4905000001</v>
      </c>
      <c r="R12" s="48">
        <f t="shared" si="1"/>
        <v>1.0018422476888384</v>
      </c>
      <c r="S12" s="49">
        <f t="shared" si="2"/>
        <v>8.0972121605592022</v>
      </c>
    </row>
    <row r="13" spans="1:20" x14ac:dyDescent="0.25">
      <c r="A13" s="65">
        <v>1</v>
      </c>
      <c r="B13" s="14" t="s">
        <v>9</v>
      </c>
      <c r="C13" s="13" t="s">
        <v>24</v>
      </c>
      <c r="D13" s="13" t="s">
        <v>28</v>
      </c>
      <c r="E13" s="14" t="s">
        <v>14</v>
      </c>
      <c r="F13" s="13" t="s">
        <v>44</v>
      </c>
      <c r="G13" s="15">
        <v>17009357</v>
      </c>
      <c r="H13" s="16">
        <f>VLOOKUP(E13,Лист2!A:K,3,0)</f>
        <v>17127476.359999999</v>
      </c>
      <c r="I13" s="16">
        <f>VLOOKUP(E13,Лист2!A:K,5,0)</f>
        <v>161633.35999999999</v>
      </c>
      <c r="J13" s="16">
        <f>VLOOKUP(E13,Лист2!A:K,7,0)</f>
        <v>191602.47</v>
      </c>
      <c r="K13" s="16">
        <f>VLOOKUP(E13,Лист2!A:K,10,0)</f>
        <v>741443.19</v>
      </c>
      <c r="L13" s="17">
        <v>129564.88499999999</v>
      </c>
      <c r="M13" s="18">
        <v>6.8000000000000005E-3</v>
      </c>
      <c r="N13" s="19">
        <v>1.0660000000000001E-3</v>
      </c>
      <c r="O13" s="19">
        <v>0.05</v>
      </c>
      <c r="P13" s="20">
        <v>3.9000000000000003E-3</v>
      </c>
      <c r="Q13" s="47">
        <f t="shared" si="0"/>
        <v>856373.81799999997</v>
      </c>
      <c r="R13" s="48">
        <f t="shared" si="1"/>
        <v>1.1550093514244835</v>
      </c>
      <c r="S13" s="49">
        <f t="shared" si="2"/>
        <v>9.3351580924930868</v>
      </c>
    </row>
    <row r="14" spans="1:20" x14ac:dyDescent="0.25">
      <c r="A14" s="65">
        <v>1</v>
      </c>
      <c r="B14" s="14" t="s">
        <v>9</v>
      </c>
      <c r="C14" s="13" t="s">
        <v>24</v>
      </c>
      <c r="D14" s="13" t="s">
        <v>28</v>
      </c>
      <c r="E14" s="14" t="s">
        <v>15</v>
      </c>
      <c r="F14" s="13" t="s">
        <v>45</v>
      </c>
      <c r="G14" s="15">
        <v>24798734</v>
      </c>
      <c r="H14" s="16">
        <f>VLOOKUP(E14,Лист2!A:K,3,0)</f>
        <v>26507855.93</v>
      </c>
      <c r="I14" s="16">
        <f>VLOOKUP(E14,Лист2!A:K,5,0)</f>
        <v>128859.79</v>
      </c>
      <c r="J14" s="16">
        <f>VLOOKUP(E14,Лист2!A:K,7,0)</f>
        <v>37976.69</v>
      </c>
      <c r="K14" s="16">
        <f>VLOOKUP(E14,Лист2!A:K,10,0)</f>
        <v>975832.29</v>
      </c>
      <c r="L14" s="17">
        <v>207175.95800000001</v>
      </c>
      <c r="M14" s="18">
        <v>3.0999999999999999E-3</v>
      </c>
      <c r="N14" s="19">
        <v>1.0660000000000001E-3</v>
      </c>
      <c r="O14" s="19">
        <v>0.05</v>
      </c>
      <c r="P14" s="20">
        <v>1.2999999999999999E-3</v>
      </c>
      <c r="Q14" s="47">
        <f t="shared" si="0"/>
        <v>1325392.7965000002</v>
      </c>
      <c r="R14" s="48">
        <f t="shared" si="1"/>
        <v>1.3582178106649865</v>
      </c>
      <c r="S14" s="49">
        <f t="shared" si="2"/>
        <v>10.977554398983997</v>
      </c>
    </row>
    <row r="15" spans="1:20" x14ac:dyDescent="0.25">
      <c r="A15" s="65">
        <v>1</v>
      </c>
      <c r="B15" s="14" t="s">
        <v>9</v>
      </c>
      <c r="C15" s="13" t="s">
        <v>24</v>
      </c>
      <c r="D15" s="13" t="s">
        <v>28</v>
      </c>
      <c r="E15" s="14" t="s">
        <v>16</v>
      </c>
      <c r="F15" s="13" t="s">
        <v>46</v>
      </c>
      <c r="G15" s="15">
        <v>6856551</v>
      </c>
      <c r="H15" s="16">
        <f>VLOOKUP(E15,Лист2!A:K,3,0)</f>
        <v>6716259.54</v>
      </c>
      <c r="I15" s="16">
        <f>VLOOKUP(E15,Лист2!A:K,5,0)</f>
        <v>95607.75</v>
      </c>
      <c r="J15" s="16">
        <f>VLOOKUP(E15,Лист2!A:K,7,0)</f>
        <v>134250.79999999999</v>
      </c>
      <c r="K15" s="16">
        <f>VLOOKUP(E15,Лист2!A:K,10,0)</f>
        <v>525654.44999999995</v>
      </c>
      <c r="L15" s="17">
        <v>262618.62</v>
      </c>
      <c r="M15" s="18">
        <v>9.7000000000000003E-3</v>
      </c>
      <c r="N15" s="19">
        <v>3.1980000000000003E-3</v>
      </c>
      <c r="O15" s="19">
        <v>0.05</v>
      </c>
      <c r="P15" s="20">
        <v>1.23E-2</v>
      </c>
      <c r="Q15" s="47">
        <f t="shared" si="0"/>
        <v>335812.97700000001</v>
      </c>
      <c r="R15" s="48">
        <f t="shared" si="1"/>
        <v>0.63884739680221492</v>
      </c>
      <c r="S15" s="49">
        <f t="shared" si="2"/>
        <v>5.1633707023853983</v>
      </c>
    </row>
    <row r="16" spans="1:20" x14ac:dyDescent="0.25">
      <c r="A16" s="65">
        <v>1</v>
      </c>
      <c r="B16" s="14" t="s">
        <v>9</v>
      </c>
      <c r="C16" s="13" t="s">
        <v>24</v>
      </c>
      <c r="D16" s="13" t="s">
        <v>28</v>
      </c>
      <c r="E16" s="14" t="s">
        <v>17</v>
      </c>
      <c r="F16" s="13" t="s">
        <v>47</v>
      </c>
      <c r="G16" s="15">
        <v>30621195</v>
      </c>
      <c r="H16" s="16">
        <f>VLOOKUP(E16,Лист2!A:K,3,0)</f>
        <v>32052691.809999999</v>
      </c>
      <c r="I16" s="16">
        <f>VLOOKUP(E16,Лист2!A:K,5,0)</f>
        <v>217352.95</v>
      </c>
      <c r="J16" s="16">
        <f>VLOOKUP(E16,Лист2!A:K,7,0)</f>
        <v>24274.43</v>
      </c>
      <c r="K16" s="16">
        <f>VLOOKUP(E16,Лист2!A:K,10,0)</f>
        <v>1246929.07</v>
      </c>
      <c r="L16" s="17">
        <v>332994.59499999997</v>
      </c>
      <c r="M16" s="18">
        <v>4.1999999999999997E-3</v>
      </c>
      <c r="N16" s="19">
        <v>2.1320000000000002E-3</v>
      </c>
      <c r="O16" s="19">
        <v>0.05</v>
      </c>
      <c r="P16" s="20">
        <v>1E-3</v>
      </c>
      <c r="Q16" s="47">
        <f t="shared" si="0"/>
        <v>1602634.5904999999</v>
      </c>
      <c r="R16" s="48">
        <f t="shared" si="1"/>
        <v>1.2852652400669429</v>
      </c>
      <c r="S16" s="49">
        <f t="shared" si="2"/>
        <v>10.387928194705575</v>
      </c>
    </row>
    <row r="17" spans="1:20" x14ac:dyDescent="0.25">
      <c r="A17" s="65">
        <v>1</v>
      </c>
      <c r="B17" s="14" t="s">
        <v>9</v>
      </c>
      <c r="C17" s="13" t="s">
        <v>24</v>
      </c>
      <c r="D17" s="13" t="s">
        <v>28</v>
      </c>
      <c r="E17" s="14" t="s">
        <v>18</v>
      </c>
      <c r="F17" s="13" t="s">
        <v>48</v>
      </c>
      <c r="G17" s="15">
        <v>17188836</v>
      </c>
      <c r="H17" s="16">
        <f>VLOOKUP(E17,Лист2!A:K,3,0)</f>
        <v>17428018.870000001</v>
      </c>
      <c r="I17" s="16">
        <f>VLOOKUP(E17,Лист2!A:K,5,0)</f>
        <v>144469.66</v>
      </c>
      <c r="J17" s="16">
        <f>VLOOKUP(E17,Лист2!A:K,7,0)</f>
        <v>261264.45</v>
      </c>
      <c r="K17" s="16">
        <f>VLOOKUP(E17,Лист2!A:K,10,0)</f>
        <v>893976.07</v>
      </c>
      <c r="L17" s="17">
        <v>141745.95499999999</v>
      </c>
      <c r="M17" s="18">
        <v>7.4999999999999997E-3</v>
      </c>
      <c r="N17" s="19">
        <v>2.6650000000000003E-3</v>
      </c>
      <c r="O17" s="19">
        <v>0.05</v>
      </c>
      <c r="P17" s="20">
        <v>2.8000000000000004E-3</v>
      </c>
      <c r="Q17" s="47">
        <f t="shared" si="0"/>
        <v>871400.94350000005</v>
      </c>
      <c r="R17" s="48">
        <f t="shared" si="1"/>
        <v>0.97474750470669769</v>
      </c>
      <c r="S17" s="49">
        <f t="shared" si="2"/>
        <v>7.8782237091654475</v>
      </c>
    </row>
    <row r="18" spans="1:20" x14ac:dyDescent="0.25">
      <c r="A18" s="65">
        <v>1</v>
      </c>
      <c r="B18" s="14" t="s">
        <v>9</v>
      </c>
      <c r="C18" s="13" t="s">
        <v>24</v>
      </c>
      <c r="D18" s="13" t="s">
        <v>28</v>
      </c>
      <c r="E18" s="14" t="s">
        <v>19</v>
      </c>
      <c r="F18" s="13" t="s">
        <v>49</v>
      </c>
      <c r="G18" s="15">
        <v>1219932</v>
      </c>
      <c r="H18" s="16">
        <f>VLOOKUP(E18,Лист2!A:K,3,0)</f>
        <v>1151560.95</v>
      </c>
      <c r="I18" s="16">
        <f>VLOOKUP(E18,Лист2!A:K,5,0)</f>
        <v>33622.300000000003</v>
      </c>
      <c r="J18" s="16">
        <f>VLOOKUP(E18,Лист2!A:K,7,0)</f>
        <v>55662.48</v>
      </c>
      <c r="K18" s="16">
        <f>VLOOKUP(E18,Лист2!A:K,10,0)</f>
        <v>31024.29</v>
      </c>
      <c r="L18" s="17">
        <v>39011.692999999999</v>
      </c>
      <c r="M18" s="18">
        <v>8.1000000000000013E-3</v>
      </c>
      <c r="N18" s="19">
        <v>1.5990000000000002E-3</v>
      </c>
      <c r="O18" s="19">
        <v>0.05</v>
      </c>
      <c r="P18" s="20">
        <v>1.55E-2</v>
      </c>
      <c r="Q18" s="47">
        <f t="shared" si="0"/>
        <v>57578.047500000001</v>
      </c>
      <c r="R18" s="48">
        <f t="shared" si="1"/>
        <v>1.855902181806578</v>
      </c>
      <c r="S18" s="49">
        <f t="shared" si="2"/>
        <v>15</v>
      </c>
    </row>
    <row r="19" spans="1:20" ht="15.75" thickBot="1" x14ac:dyDescent="0.3">
      <c r="A19" s="66">
        <v>1</v>
      </c>
      <c r="B19" s="23" t="s">
        <v>9</v>
      </c>
      <c r="C19" s="22" t="s">
        <v>24</v>
      </c>
      <c r="D19" s="22" t="s">
        <v>28</v>
      </c>
      <c r="E19" s="23" t="s">
        <v>20</v>
      </c>
      <c r="F19" s="22" t="s">
        <v>50</v>
      </c>
      <c r="G19" s="24">
        <v>3312987</v>
      </c>
      <c r="H19" s="25">
        <f>VLOOKUP(E19,Лист2!A:K,3,0)</f>
        <v>3213559.51</v>
      </c>
      <c r="I19" s="25">
        <f>VLOOKUP(E19,Лист2!A:K,5,0)</f>
        <v>32154.19</v>
      </c>
      <c r="J19" s="25">
        <f>VLOOKUP(E19,Лист2!A:K,7,0)</f>
        <v>3780.6</v>
      </c>
      <c r="K19" s="25">
        <f>VLOOKUP(E19,Лист2!A:K,10,0)</f>
        <v>205546.67</v>
      </c>
      <c r="L19" s="26">
        <v>68784.183000000005</v>
      </c>
      <c r="M19" s="27">
        <v>6.8999999999999999E-3</v>
      </c>
      <c r="N19" s="28">
        <v>3.1980000000000003E-3</v>
      </c>
      <c r="O19" s="28">
        <v>0.05</v>
      </c>
      <c r="P19" s="29">
        <v>1.2199999999999999E-2</v>
      </c>
      <c r="Q19" s="47">
        <f t="shared" si="0"/>
        <v>160677.9755</v>
      </c>
      <c r="R19" s="48">
        <f t="shared" si="1"/>
        <v>0.7817104285853913</v>
      </c>
      <c r="S19" s="49">
        <f t="shared" si="2"/>
        <v>6.3180358015242186</v>
      </c>
    </row>
    <row r="20" spans="1:20" x14ac:dyDescent="0.25">
      <c r="A20" s="64">
        <v>2</v>
      </c>
      <c r="B20" s="5" t="s">
        <v>0</v>
      </c>
      <c r="C20" s="4" t="s">
        <v>22</v>
      </c>
      <c r="D20" s="4" t="s">
        <v>26</v>
      </c>
      <c r="E20" s="5" t="s">
        <v>1</v>
      </c>
      <c r="F20" s="4" t="s">
        <v>36</v>
      </c>
      <c r="G20" s="6">
        <v>21379072</v>
      </c>
      <c r="H20" s="7">
        <f>VLOOKUP(E20,Лист2!A:K,2,0)</f>
        <v>22377804.719999999</v>
      </c>
      <c r="I20" s="7">
        <f>VLOOKUP(E20,Лист2!A:K,4,0)</f>
        <v>278296.7</v>
      </c>
      <c r="J20" s="7">
        <f>VLOOKUP(E20,Лист2!A:K,6,0)</f>
        <v>452006.75</v>
      </c>
      <c r="K20" s="7">
        <f>VLOOKUP(E20,Лист2!A:K,9,0)</f>
        <v>1129236.25</v>
      </c>
      <c r="L20" s="8">
        <v>109023.978</v>
      </c>
      <c r="M20" s="9">
        <v>1.2800000000000001E-2</v>
      </c>
      <c r="N20" s="10">
        <v>1.5989999999999999E-3</v>
      </c>
      <c r="O20" s="10">
        <v>0.05</v>
      </c>
      <c r="P20" s="11">
        <v>2E-3</v>
      </c>
      <c r="Q20" s="47">
        <f t="shared" ref="Q20:Q36" si="3">H20*O20</f>
        <v>1118890.236</v>
      </c>
      <c r="R20" s="48">
        <f t="shared" si="1"/>
        <v>0.99083804296930778</v>
      </c>
      <c r="S20" s="49">
        <f>R20/$T$2*$O$2</f>
        <v>11.416431064990304</v>
      </c>
      <c r="T20" s="48"/>
    </row>
    <row r="21" spans="1:20" x14ac:dyDescent="0.25">
      <c r="A21" s="65">
        <v>2</v>
      </c>
      <c r="B21" s="14" t="s">
        <v>0</v>
      </c>
      <c r="C21" s="13" t="s">
        <v>22</v>
      </c>
      <c r="D21" s="13" t="s">
        <v>26</v>
      </c>
      <c r="E21" s="14" t="s">
        <v>2</v>
      </c>
      <c r="F21" s="13" t="s">
        <v>34</v>
      </c>
      <c r="G21" s="15">
        <v>2100233</v>
      </c>
      <c r="H21" s="16">
        <f>VLOOKUP(E21,Лист2!A:K,2,0)</f>
        <v>2296569.0099999998</v>
      </c>
      <c r="I21" s="16">
        <f>VLOOKUP(E21,Лист2!A:K,4,0)</f>
        <v>2450.86</v>
      </c>
      <c r="J21" s="16">
        <f>VLOOKUP(E21,Лист2!A:K,6,0)</f>
        <v>22035.74</v>
      </c>
      <c r="K21" s="16">
        <f>VLOOKUP(E21,Лист2!A:K,9,0)</f>
        <v>112435</v>
      </c>
      <c r="L21" s="17">
        <v>16538.763999999999</v>
      </c>
      <c r="M21" s="18">
        <v>1.15E-2</v>
      </c>
      <c r="N21" s="19">
        <v>1.0660000000000001E-3</v>
      </c>
      <c r="O21" s="19">
        <v>0.05</v>
      </c>
      <c r="P21" s="20">
        <v>1.03E-2</v>
      </c>
      <c r="Q21" s="47">
        <f t="shared" si="3"/>
        <v>114828.45049999999</v>
      </c>
      <c r="R21" s="48">
        <f t="shared" si="1"/>
        <v>1.0212874149508604</v>
      </c>
      <c r="S21" s="49">
        <f t="shared" ref="S21:S36" si="4">R21/$T$2*$O$2</f>
        <v>11.767268579421925</v>
      </c>
    </row>
    <row r="22" spans="1:20" x14ac:dyDescent="0.25">
      <c r="A22" s="65">
        <v>2</v>
      </c>
      <c r="B22" s="14" t="s">
        <v>0</v>
      </c>
      <c r="C22" s="13" t="s">
        <v>22</v>
      </c>
      <c r="D22" s="13" t="s">
        <v>26</v>
      </c>
      <c r="E22" s="14" t="s">
        <v>3</v>
      </c>
      <c r="F22" s="13" t="s">
        <v>35</v>
      </c>
      <c r="G22" s="15">
        <v>6000000</v>
      </c>
      <c r="H22" s="16">
        <f>VLOOKUP(E22,Лист2!A:K,2,0)</f>
        <v>8754757.2799999993</v>
      </c>
      <c r="I22" s="16">
        <f>VLOOKUP(E22,Лист2!A:K,4,0)</f>
        <v>2613.98</v>
      </c>
      <c r="J22" s="16">
        <f>VLOOKUP(E22,Лист2!A:K,6,0)</f>
        <v>11687.46</v>
      </c>
      <c r="K22" s="16">
        <f>VLOOKUP(E22,Лист2!A:K,9,0)</f>
        <v>881288</v>
      </c>
      <c r="L22" s="17">
        <v>4645.74</v>
      </c>
      <c r="M22" s="18">
        <v>7.7000000000000002E-3</v>
      </c>
      <c r="N22" s="19">
        <v>1.9E-3</v>
      </c>
      <c r="O22" s="19">
        <v>0.05</v>
      </c>
      <c r="P22" s="20">
        <v>6.1999999999999998E-3</v>
      </c>
      <c r="Q22" s="47">
        <f t="shared" si="3"/>
        <v>437737.864</v>
      </c>
      <c r="R22" s="48">
        <f t="shared" si="1"/>
        <v>0.49670239921569337</v>
      </c>
      <c r="S22" s="49">
        <f t="shared" si="4"/>
        <v>5.7230026044093965</v>
      </c>
    </row>
    <row r="23" spans="1:20" ht="15" customHeight="1" x14ac:dyDescent="0.25">
      <c r="A23" s="65">
        <v>2</v>
      </c>
      <c r="B23" s="14" t="s">
        <v>0</v>
      </c>
      <c r="C23" s="13" t="s">
        <v>22</v>
      </c>
      <c r="D23" s="13" t="s">
        <v>26</v>
      </c>
      <c r="E23" s="14" t="s">
        <v>4</v>
      </c>
      <c r="F23" s="13" t="s">
        <v>37</v>
      </c>
      <c r="G23" s="15">
        <v>3232951</v>
      </c>
      <c r="H23" s="16">
        <f>VLOOKUP(E23,Лист2!A:K,2,0)</f>
        <v>3156377.33</v>
      </c>
      <c r="I23" s="16">
        <f>VLOOKUP(E23,Лист2!A:K,4,0)</f>
        <v>8713.2800000000007</v>
      </c>
      <c r="J23" s="16">
        <f>VLOOKUP(E23,Лист2!A:K,6,0)</f>
        <v>96077.08</v>
      </c>
      <c r="K23" s="16">
        <f>VLOOKUP(E23,Лист2!A:K,9,0)</f>
        <v>193900</v>
      </c>
      <c r="L23" s="17">
        <v>22909.393</v>
      </c>
      <c r="M23" s="18">
        <v>7.7000000000000002E-3</v>
      </c>
      <c r="N23" s="19">
        <v>1.9E-3</v>
      </c>
      <c r="O23" s="19">
        <v>0.05</v>
      </c>
      <c r="P23" s="20">
        <v>6.1999999999999998E-3</v>
      </c>
      <c r="Q23" s="47">
        <f t="shared" si="3"/>
        <v>157818.8665</v>
      </c>
      <c r="R23" s="48">
        <f t="shared" si="1"/>
        <v>0.81391885765858696</v>
      </c>
      <c r="S23" s="49">
        <f t="shared" si="4"/>
        <v>9.3779690807075173</v>
      </c>
    </row>
    <row r="24" spans="1:20" x14ac:dyDescent="0.25">
      <c r="A24" s="65">
        <v>2</v>
      </c>
      <c r="B24" s="14" t="s">
        <v>5</v>
      </c>
      <c r="C24" s="13" t="s">
        <v>23</v>
      </c>
      <c r="D24" s="13" t="s">
        <v>27</v>
      </c>
      <c r="E24" s="14" t="s">
        <v>6</v>
      </c>
      <c r="F24" s="13" t="s">
        <v>39</v>
      </c>
      <c r="G24" s="15">
        <v>8508152</v>
      </c>
      <c r="H24" s="16">
        <f>VLOOKUP(E24,Лист2!A:K,2,0)</f>
        <v>8782254.2200000007</v>
      </c>
      <c r="I24" s="16">
        <f>VLOOKUP(E24,Лист2!A:K,4,0)</f>
        <v>114550.21</v>
      </c>
      <c r="J24" s="16">
        <f>VLOOKUP(E24,Лист2!A:K,6,0)</f>
        <v>215004.99</v>
      </c>
      <c r="K24" s="16">
        <f>VLOOKUP(E24,Лист2!A:K,9,0)</f>
        <v>560636.86</v>
      </c>
      <c r="L24" s="17">
        <v>17399.486000000001</v>
      </c>
      <c r="M24" s="18">
        <v>1.34E-2</v>
      </c>
      <c r="N24" s="19">
        <v>3.1980000000000003E-3</v>
      </c>
      <c r="O24" s="19">
        <v>0.05</v>
      </c>
      <c r="P24" s="20">
        <v>3.9000000000000003E-3</v>
      </c>
      <c r="Q24" s="47">
        <f t="shared" si="3"/>
        <v>439112.71100000007</v>
      </c>
      <c r="R24" s="48">
        <f t="shared" si="1"/>
        <v>0.78323910240222183</v>
      </c>
      <c r="S24" s="49">
        <f t="shared" si="4"/>
        <v>9.0244770913149406</v>
      </c>
    </row>
    <row r="25" spans="1:20" x14ac:dyDescent="0.25">
      <c r="A25" s="65">
        <v>2</v>
      </c>
      <c r="B25" s="14" t="s">
        <v>7</v>
      </c>
      <c r="C25" s="13" t="s">
        <v>21</v>
      </c>
      <c r="D25" s="13" t="s">
        <v>25</v>
      </c>
      <c r="E25" s="14" t="s">
        <v>8</v>
      </c>
      <c r="F25" s="13" t="s">
        <v>40</v>
      </c>
      <c r="G25" s="15">
        <v>6150356</v>
      </c>
      <c r="H25" s="16">
        <f>VLOOKUP(E25,Лист2!A:K,2,0)</f>
        <v>6331291.4800000004</v>
      </c>
      <c r="I25" s="16">
        <f>VLOOKUP(E25,Лист2!A:K,4,0)</f>
        <v>848.46</v>
      </c>
      <c r="J25" s="16">
        <f>VLOOKUP(E25,Лист2!A:K,6,0)</f>
        <v>55561.33</v>
      </c>
      <c r="K25" s="16">
        <f>VLOOKUP(E25,Лист2!A:K,9,0)</f>
        <v>357491.39</v>
      </c>
      <c r="L25" s="17">
        <v>7466.04</v>
      </c>
      <c r="M25" s="18">
        <v>5.0000000000000001E-4</v>
      </c>
      <c r="N25" s="19">
        <v>1.0660000000000001E-3</v>
      </c>
      <c r="O25" s="19">
        <v>0.05</v>
      </c>
      <c r="P25" s="20">
        <v>1.1000000000000001E-2</v>
      </c>
      <c r="Q25" s="47">
        <f t="shared" si="3"/>
        <v>316564.57400000002</v>
      </c>
      <c r="R25" s="48">
        <f t="shared" si="1"/>
        <v>0.88551663859652674</v>
      </c>
      <c r="S25" s="49">
        <f t="shared" si="4"/>
        <v>10.20291836105079</v>
      </c>
    </row>
    <row r="26" spans="1:20" x14ac:dyDescent="0.25">
      <c r="A26" s="65">
        <v>2</v>
      </c>
      <c r="B26" s="14" t="s">
        <v>9</v>
      </c>
      <c r="C26" s="13" t="s">
        <v>24</v>
      </c>
      <c r="D26" s="13" t="s">
        <v>28</v>
      </c>
      <c r="E26" s="14" t="s">
        <v>10</v>
      </c>
      <c r="F26" s="13" t="s">
        <v>41</v>
      </c>
      <c r="G26" s="15">
        <v>15306555</v>
      </c>
      <c r="H26" s="16">
        <f>VLOOKUP(E26,Лист2!A:K,2,0)</f>
        <v>15570538.48</v>
      </c>
      <c r="I26" s="16">
        <f>VLOOKUP(E26,Лист2!A:K,4,0)</f>
        <v>175447.9</v>
      </c>
      <c r="J26" s="16">
        <f>VLOOKUP(E26,Лист2!A:K,6,0)</f>
        <v>272389.03000000003</v>
      </c>
      <c r="K26" s="16">
        <f>VLOOKUP(E26,Лист2!A:K,9,0)</f>
        <v>787796.12</v>
      </c>
      <c r="L26" s="17">
        <v>30519.866999999998</v>
      </c>
      <c r="M26" s="18">
        <v>9.1999999999999998E-3</v>
      </c>
      <c r="N26" s="19">
        <v>2.6650000000000003E-3</v>
      </c>
      <c r="O26" s="19">
        <v>0.05</v>
      </c>
      <c r="P26" s="20">
        <v>4.5999999999999999E-3</v>
      </c>
      <c r="Q26" s="47">
        <f t="shared" si="3"/>
        <v>778526.92400000012</v>
      </c>
      <c r="R26" s="48">
        <f t="shared" si="1"/>
        <v>0.98823401668949595</v>
      </c>
      <c r="S26" s="49">
        <f t="shared" si="4"/>
        <v>11.386427486982939</v>
      </c>
    </row>
    <row r="27" spans="1:20" x14ac:dyDescent="0.25">
      <c r="A27" s="65">
        <v>2</v>
      </c>
      <c r="B27" s="14" t="s">
        <v>9</v>
      </c>
      <c r="C27" s="13" t="s">
        <v>24</v>
      </c>
      <c r="D27" s="13" t="s">
        <v>28</v>
      </c>
      <c r="E27" s="14" t="s">
        <v>11</v>
      </c>
      <c r="F27" s="13" t="s">
        <v>38</v>
      </c>
      <c r="G27" s="15">
        <v>3762746</v>
      </c>
      <c r="H27" s="16">
        <f>VLOOKUP(E27,Лист2!A:K,2,0)</f>
        <v>3787951.38</v>
      </c>
      <c r="I27" s="16">
        <f>VLOOKUP(E27,Лист2!A:K,4,0)</f>
        <v>46493.04</v>
      </c>
      <c r="J27" s="16">
        <f>VLOOKUP(E27,Лист2!A:K,6,0)</f>
        <v>76596.06</v>
      </c>
      <c r="K27" s="16">
        <f>VLOOKUP(E27,Лист2!A:K,9,0)</f>
        <v>218845.31</v>
      </c>
      <c r="L27" s="17">
        <v>7222.8</v>
      </c>
      <c r="M27" s="18">
        <v>9.0000000000000011E-3</v>
      </c>
      <c r="N27" s="19">
        <v>1.5990000000000002E-3</v>
      </c>
      <c r="O27" s="19">
        <v>0.05</v>
      </c>
      <c r="P27" s="20">
        <v>4.1999999999999997E-3</v>
      </c>
      <c r="Q27" s="47">
        <f t="shared" si="3"/>
        <v>189397.56900000002</v>
      </c>
      <c r="R27" s="48">
        <f t="shared" si="1"/>
        <v>0.8654403834379637</v>
      </c>
      <c r="S27" s="49">
        <f t="shared" si="4"/>
        <v>9.9715998477102694</v>
      </c>
    </row>
    <row r="28" spans="1:20" x14ac:dyDescent="0.25">
      <c r="A28" s="65">
        <v>2</v>
      </c>
      <c r="B28" s="14" t="s">
        <v>9</v>
      </c>
      <c r="C28" s="13" t="s">
        <v>24</v>
      </c>
      <c r="D28" s="13" t="s">
        <v>28</v>
      </c>
      <c r="E28" s="14" t="s">
        <v>12</v>
      </c>
      <c r="F28" s="13" t="s">
        <v>42</v>
      </c>
      <c r="G28" s="15">
        <v>18026002</v>
      </c>
      <c r="H28" s="16">
        <f>VLOOKUP(E28,Лист2!A:K,2,0)</f>
        <v>19295921.5</v>
      </c>
      <c r="I28" s="16">
        <f>VLOOKUP(E28,Лист2!A:K,4,0)</f>
        <v>173219.16</v>
      </c>
      <c r="J28" s="16">
        <f>VLOOKUP(E28,Лист2!A:K,6,0)</f>
        <v>10841.97</v>
      </c>
      <c r="K28" s="16">
        <f>VLOOKUP(E28,Лист2!A:K,9,0)</f>
        <v>918662.31</v>
      </c>
      <c r="L28" s="17">
        <v>19952.25</v>
      </c>
      <c r="M28" s="18">
        <v>5.7999999999999996E-3</v>
      </c>
      <c r="N28" s="19">
        <v>1.0660000000000001E-3</v>
      </c>
      <c r="O28" s="19">
        <v>0.05</v>
      </c>
      <c r="P28" s="20">
        <v>4.8999999999999998E-3</v>
      </c>
      <c r="Q28" s="47">
        <f t="shared" si="3"/>
        <v>964796.07500000007</v>
      </c>
      <c r="R28" s="48">
        <f t="shared" si="1"/>
        <v>1.0502184148601894</v>
      </c>
      <c r="S28" s="49">
        <f t="shared" si="4"/>
        <v>12.100611418294257</v>
      </c>
    </row>
    <row r="29" spans="1:20" x14ac:dyDescent="0.25">
      <c r="A29" s="65">
        <v>2</v>
      </c>
      <c r="B29" s="14" t="s">
        <v>9</v>
      </c>
      <c r="C29" s="13" t="s">
        <v>24</v>
      </c>
      <c r="D29" s="13" t="s">
        <v>28</v>
      </c>
      <c r="E29" s="14" t="s">
        <v>13</v>
      </c>
      <c r="F29" s="13" t="s">
        <v>43</v>
      </c>
      <c r="G29" s="15">
        <v>21282486</v>
      </c>
      <c r="H29" s="16">
        <f>VLOOKUP(E29,Лист2!A:K,2,0)</f>
        <v>21928287.18</v>
      </c>
      <c r="I29" s="16">
        <f>VLOOKUP(E29,Лист2!A:K,4,0)</f>
        <v>245143.75</v>
      </c>
      <c r="J29" s="16">
        <f>VLOOKUP(E29,Лист2!A:K,6,0)</f>
        <v>258047.3</v>
      </c>
      <c r="K29" s="16">
        <f>VLOOKUP(E29,Лист2!A:K,9,0)</f>
        <v>1075360.1000000001</v>
      </c>
      <c r="L29" s="17">
        <v>30274.82</v>
      </c>
      <c r="M29" s="18">
        <v>6.8000000000000005E-3</v>
      </c>
      <c r="N29" s="19">
        <v>1.0660000000000001E-3</v>
      </c>
      <c r="O29" s="19">
        <v>0.05</v>
      </c>
      <c r="P29" s="20">
        <v>3.2000000000000002E-3</v>
      </c>
      <c r="Q29" s="47">
        <f t="shared" si="3"/>
        <v>1096414.3589999999</v>
      </c>
      <c r="R29" s="48">
        <f t="shared" si="1"/>
        <v>1.0195787987670362</v>
      </c>
      <c r="S29" s="49">
        <f t="shared" si="4"/>
        <v>11.747581912143081</v>
      </c>
    </row>
    <row r="30" spans="1:20" x14ac:dyDescent="0.25">
      <c r="A30" s="65">
        <v>2</v>
      </c>
      <c r="B30" s="14" t="s">
        <v>9</v>
      </c>
      <c r="C30" s="13" t="s">
        <v>24</v>
      </c>
      <c r="D30" s="13" t="s">
        <v>28</v>
      </c>
      <c r="E30" s="14" t="s">
        <v>14</v>
      </c>
      <c r="F30" s="13" t="s">
        <v>44</v>
      </c>
      <c r="G30" s="15">
        <v>16421348</v>
      </c>
      <c r="H30" s="16">
        <f>VLOOKUP(E30,Лист2!A:K,2,0)</f>
        <v>16592421.289999999</v>
      </c>
      <c r="I30" s="16">
        <f>VLOOKUP(E30,Лист2!A:K,4,0)</f>
        <v>166414.34</v>
      </c>
      <c r="J30" s="16">
        <f>VLOOKUP(E30,Лист2!A:K,6,0)</f>
        <v>21085.25</v>
      </c>
      <c r="K30" s="16">
        <f>VLOOKUP(E30,Лист2!A:K,9,0)</f>
        <v>775214.89</v>
      </c>
      <c r="L30" s="17">
        <v>24702.48</v>
      </c>
      <c r="M30" s="18">
        <v>6.8000000000000005E-3</v>
      </c>
      <c r="N30" s="19">
        <v>1.0660000000000001E-3</v>
      </c>
      <c r="O30" s="19">
        <v>0.05</v>
      </c>
      <c r="P30" s="20">
        <v>3.9000000000000003E-3</v>
      </c>
      <c r="Q30" s="47">
        <f t="shared" si="3"/>
        <v>829621.06449999998</v>
      </c>
      <c r="R30" s="48">
        <f t="shared" si="1"/>
        <v>1.0701820555846133</v>
      </c>
      <c r="S30" s="49">
        <f t="shared" si="4"/>
        <v>12.330632388677689</v>
      </c>
    </row>
    <row r="31" spans="1:20" x14ac:dyDescent="0.25">
      <c r="A31" s="65">
        <v>2</v>
      </c>
      <c r="B31" s="14" t="s">
        <v>9</v>
      </c>
      <c r="C31" s="13" t="s">
        <v>24</v>
      </c>
      <c r="D31" s="13" t="s">
        <v>28</v>
      </c>
      <c r="E31" s="14" t="s">
        <v>15</v>
      </c>
      <c r="F31" s="13" t="s">
        <v>45</v>
      </c>
      <c r="G31" s="15">
        <v>24394317</v>
      </c>
      <c r="H31" s="16">
        <f>VLOOKUP(E31,Лист2!A:K,2,0)</f>
        <v>24732366.73</v>
      </c>
      <c r="I31" s="16">
        <f>VLOOKUP(E31,Лист2!A:K,4,0)</f>
        <v>138177.79</v>
      </c>
      <c r="J31" s="16">
        <f>VLOOKUP(E31,Лист2!A:K,6,0)</f>
        <v>19775.87</v>
      </c>
      <c r="K31" s="16">
        <f>VLOOKUP(E31,Лист2!A:K,9,0)</f>
        <v>949887.36</v>
      </c>
      <c r="L31" s="17">
        <v>20745.919999999998</v>
      </c>
      <c r="M31" s="18">
        <v>3.0999999999999999E-3</v>
      </c>
      <c r="N31" s="19">
        <v>1.0660000000000001E-3</v>
      </c>
      <c r="O31" s="19">
        <v>0.05</v>
      </c>
      <c r="P31" s="20">
        <v>1.2999999999999999E-3</v>
      </c>
      <c r="Q31" s="47">
        <f t="shared" si="3"/>
        <v>1236618.3365</v>
      </c>
      <c r="R31" s="48">
        <f t="shared" si="1"/>
        <v>1.3018578713375026</v>
      </c>
      <c r="S31" s="49">
        <f t="shared" si="4"/>
        <v>15</v>
      </c>
    </row>
    <row r="32" spans="1:20" x14ac:dyDescent="0.25">
      <c r="A32" s="65">
        <v>2</v>
      </c>
      <c r="B32" s="14" t="s">
        <v>9</v>
      </c>
      <c r="C32" s="13" t="s">
        <v>24</v>
      </c>
      <c r="D32" s="13" t="s">
        <v>28</v>
      </c>
      <c r="E32" s="14" t="s">
        <v>16</v>
      </c>
      <c r="F32" s="13" t="s">
        <v>46</v>
      </c>
      <c r="G32" s="15">
        <v>7182566</v>
      </c>
      <c r="H32" s="16">
        <f>VLOOKUP(E32,Лист2!A:K,2,0)</f>
        <v>6727481.3700000001</v>
      </c>
      <c r="I32" s="16">
        <f>VLOOKUP(E32,Лист2!A:K,4,0)</f>
        <v>85377.279999999999</v>
      </c>
      <c r="J32" s="16">
        <f>VLOOKUP(E32,Лист2!A:K,6,0)</f>
        <v>167922.88</v>
      </c>
      <c r="K32" s="16">
        <f>VLOOKUP(E32,Лист2!A:K,9,0)</f>
        <v>464714.09</v>
      </c>
      <c r="L32" s="17">
        <v>54583.16</v>
      </c>
      <c r="M32" s="18">
        <v>9.7000000000000003E-3</v>
      </c>
      <c r="N32" s="19">
        <v>3.1980000000000003E-3</v>
      </c>
      <c r="O32" s="19">
        <v>0.05</v>
      </c>
      <c r="P32" s="20">
        <v>1.23E-2</v>
      </c>
      <c r="Q32" s="47">
        <f t="shared" si="3"/>
        <v>336374.06850000005</v>
      </c>
      <c r="R32" s="48">
        <f t="shared" si="1"/>
        <v>0.72383014790879274</v>
      </c>
      <c r="S32" s="49">
        <f t="shared" si="4"/>
        <v>8.3399674094048102</v>
      </c>
    </row>
    <row r="33" spans="1:19" x14ac:dyDescent="0.25">
      <c r="A33" s="65">
        <v>2</v>
      </c>
      <c r="B33" s="14" t="s">
        <v>9</v>
      </c>
      <c r="C33" s="13" t="s">
        <v>24</v>
      </c>
      <c r="D33" s="13" t="s">
        <v>28</v>
      </c>
      <c r="E33" s="14" t="s">
        <v>17</v>
      </c>
      <c r="F33" s="13" t="s">
        <v>47</v>
      </c>
      <c r="G33" s="15">
        <v>28067946</v>
      </c>
      <c r="H33" s="16">
        <f>VLOOKUP(E33,Лист2!A:K,2,0)</f>
        <v>30236809.890000001</v>
      </c>
      <c r="I33" s="16">
        <f>VLOOKUP(E33,Лист2!A:K,4,0)</f>
        <v>235038.9</v>
      </c>
      <c r="J33" s="16">
        <f>VLOOKUP(E33,Лист2!A:K,6,0)</f>
        <v>405668.69</v>
      </c>
      <c r="K33" s="16">
        <f>VLOOKUP(E33,Лист2!A:K,9,0)</f>
        <v>1233206.29</v>
      </c>
      <c r="L33" s="17">
        <v>30542.98</v>
      </c>
      <c r="M33" s="18">
        <v>4.1999999999999997E-3</v>
      </c>
      <c r="N33" s="19">
        <v>2.1320000000000002E-3</v>
      </c>
      <c r="O33" s="19">
        <v>0.05</v>
      </c>
      <c r="P33" s="20">
        <v>1E-3</v>
      </c>
      <c r="Q33" s="47">
        <f t="shared" si="3"/>
        <v>1511840.4945</v>
      </c>
      <c r="R33" s="48">
        <f t="shared" si="1"/>
        <v>1.2259428992208594</v>
      </c>
      <c r="S33" s="49">
        <f t="shared" si="4"/>
        <v>14.125308064097853</v>
      </c>
    </row>
    <row r="34" spans="1:19" x14ac:dyDescent="0.25">
      <c r="A34" s="65">
        <v>2</v>
      </c>
      <c r="B34" s="14" t="s">
        <v>9</v>
      </c>
      <c r="C34" s="13" t="s">
        <v>24</v>
      </c>
      <c r="D34" s="13" t="s">
        <v>28</v>
      </c>
      <c r="E34" s="14" t="s">
        <v>18</v>
      </c>
      <c r="F34" s="13" t="s">
        <v>48</v>
      </c>
      <c r="G34" s="15">
        <v>15369836</v>
      </c>
      <c r="H34" s="16">
        <f>VLOOKUP(E34,Лист2!A:K,2,0)</f>
        <v>16641580.289999999</v>
      </c>
      <c r="I34" s="16">
        <f>VLOOKUP(E34,Лист2!A:K,4,0)</f>
        <v>146123.65</v>
      </c>
      <c r="J34" s="16">
        <f>VLOOKUP(E34,Лист2!A:K,6,0)</f>
        <v>275905.56</v>
      </c>
      <c r="K34" s="16">
        <f>VLOOKUP(E34,Лист2!A:K,9,0)</f>
        <v>824999.73</v>
      </c>
      <c r="L34" s="17">
        <v>23503.42</v>
      </c>
      <c r="M34" s="18">
        <v>7.4999999999999997E-3</v>
      </c>
      <c r="N34" s="19">
        <v>2.6650000000000003E-3</v>
      </c>
      <c r="O34" s="19">
        <v>0.05</v>
      </c>
      <c r="P34" s="20">
        <v>2.8000000000000004E-3</v>
      </c>
      <c r="Q34" s="47">
        <f t="shared" si="3"/>
        <v>832079.01450000005</v>
      </c>
      <c r="R34" s="48">
        <f t="shared" si="1"/>
        <v>1.0085809537174031</v>
      </c>
      <c r="S34" s="49">
        <f t="shared" si="4"/>
        <v>11.620864795492697</v>
      </c>
    </row>
    <row r="35" spans="1:19" x14ac:dyDescent="0.25">
      <c r="A35" s="65">
        <v>2</v>
      </c>
      <c r="B35" s="14" t="s">
        <v>9</v>
      </c>
      <c r="C35" s="13" t="s">
        <v>24</v>
      </c>
      <c r="D35" s="13" t="s">
        <v>28</v>
      </c>
      <c r="E35" s="14" t="s">
        <v>19</v>
      </c>
      <c r="F35" s="13" t="s">
        <v>49</v>
      </c>
      <c r="G35" s="15">
        <v>1092201</v>
      </c>
      <c r="H35" s="16">
        <f>VLOOKUP(E35,Лист2!A:K,2,0)</f>
        <v>1178225.1299999999</v>
      </c>
      <c r="I35" s="16">
        <f>VLOOKUP(E35,Лист2!A:K,4,0)</f>
        <v>14922.41</v>
      </c>
      <c r="J35" s="16">
        <f>VLOOKUP(E35,Лист2!A:K,6,0)</f>
        <v>0</v>
      </c>
      <c r="K35" s="16">
        <f>VLOOKUP(E35,Лист2!A:K,9,0)</f>
        <v>64147.12</v>
      </c>
      <c r="L35" s="17">
        <v>4881.04</v>
      </c>
      <c r="M35" s="18">
        <v>8.1000000000000013E-3</v>
      </c>
      <c r="N35" s="19">
        <v>1.5990000000000002E-3</v>
      </c>
      <c r="O35" s="19">
        <v>0.05</v>
      </c>
      <c r="P35" s="20">
        <v>1.55E-2</v>
      </c>
      <c r="Q35" s="47">
        <f t="shared" si="3"/>
        <v>58911.256499999996</v>
      </c>
      <c r="R35" s="48">
        <f t="shared" si="1"/>
        <v>0.91837726307899703</v>
      </c>
      <c r="S35" s="49">
        <f t="shared" si="4"/>
        <v>10.581538314956086</v>
      </c>
    </row>
    <row r="36" spans="1:19" ht="15.75" thickBot="1" x14ac:dyDescent="0.3">
      <c r="A36" s="66">
        <v>2</v>
      </c>
      <c r="B36" s="23" t="s">
        <v>9</v>
      </c>
      <c r="C36" s="22" t="s">
        <v>24</v>
      </c>
      <c r="D36" s="22" t="s">
        <v>28</v>
      </c>
      <c r="E36" s="23" t="s">
        <v>20</v>
      </c>
      <c r="F36" s="22" t="s">
        <v>50</v>
      </c>
      <c r="G36" s="24">
        <v>2861224</v>
      </c>
      <c r="H36" s="25">
        <f>VLOOKUP(E36,Лист2!A:K,2,0)</f>
        <v>3227731.96</v>
      </c>
      <c r="I36" s="25">
        <f>VLOOKUP(E36,Лист2!A:K,4,0)</f>
        <v>45634.55</v>
      </c>
      <c r="J36" s="25">
        <f>VLOOKUP(E36,Лист2!A:K,6,0)</f>
        <v>68818.87</v>
      </c>
      <c r="K36" s="25">
        <f>VLOOKUP(E36,Лист2!A:K,9,0)</f>
        <v>189660.15</v>
      </c>
      <c r="L36" s="26">
        <v>5190.9679999999998</v>
      </c>
      <c r="M36" s="27">
        <v>6.8999999999999999E-3</v>
      </c>
      <c r="N36" s="28">
        <v>3.1980000000000003E-3</v>
      </c>
      <c r="O36" s="28">
        <v>0.05</v>
      </c>
      <c r="P36" s="29">
        <v>1.2199999999999999E-2</v>
      </c>
      <c r="Q36" s="47">
        <f t="shared" si="3"/>
        <v>161386.598</v>
      </c>
      <c r="R36" s="48">
        <f t="shared" si="1"/>
        <v>0.85092518380903948</v>
      </c>
      <c r="S36" s="49">
        <f t="shared" si="4"/>
        <v>9.8043557888713622</v>
      </c>
    </row>
  </sheetData>
  <phoneticPr fontId="4" type="noConversion"/>
  <pageMargins left="0.7" right="0.7" top="0.75" bottom="0.75" header="0.3" footer="0.3"/>
  <pageSetup paperSize="9" orientation="portrait" r:id="rId1"/>
  <customProperties>
    <customPr name="LastActiv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091A-D3C7-4835-B8F0-F2DC9B1AE523}">
  <dimension ref="A1:K27"/>
  <sheetViews>
    <sheetView workbookViewId="0">
      <selection activeCell="C27" sqref="C27"/>
    </sheetView>
  </sheetViews>
  <sheetFormatPr defaultRowHeight="15" x14ac:dyDescent="0.25"/>
  <cols>
    <col min="1" max="1" width="21.140625" customWidth="1"/>
    <col min="2" max="3" width="17.140625" customWidth="1"/>
    <col min="4" max="4" width="15.28515625" customWidth="1"/>
    <col min="5" max="5" width="14.28515625" customWidth="1"/>
    <col min="6" max="6" width="15.28515625" customWidth="1"/>
    <col min="7" max="7" width="14.7109375" customWidth="1"/>
    <col min="8" max="8" width="11.28515625" customWidth="1"/>
    <col min="9" max="9" width="14.7109375" customWidth="1"/>
    <col min="10" max="10" width="16" customWidth="1"/>
  </cols>
  <sheetData>
    <row r="1" spans="1:11" x14ac:dyDescent="0.25">
      <c r="A1" s="67" t="s">
        <v>61</v>
      </c>
      <c r="B1" s="68" t="s">
        <v>62</v>
      </c>
      <c r="C1" s="68"/>
      <c r="D1" s="68" t="s">
        <v>63</v>
      </c>
      <c r="E1" s="68"/>
      <c r="F1" s="68" t="s">
        <v>64</v>
      </c>
      <c r="G1" s="68"/>
      <c r="H1" s="68"/>
      <c r="I1" s="68" t="s">
        <v>65</v>
      </c>
      <c r="J1" s="68"/>
      <c r="K1" s="68"/>
    </row>
    <row r="2" spans="1:11" ht="51" x14ac:dyDescent="0.25">
      <c r="A2" s="67" t="s">
        <v>66</v>
      </c>
      <c r="B2" s="67" t="s">
        <v>67</v>
      </c>
      <c r="C2" s="67" t="s">
        <v>68</v>
      </c>
      <c r="D2" s="67" t="s">
        <v>69</v>
      </c>
      <c r="E2" s="67" t="s">
        <v>70</v>
      </c>
      <c r="F2" s="67" t="s">
        <v>71</v>
      </c>
      <c r="G2" s="67" t="s">
        <v>72</v>
      </c>
      <c r="H2" s="67" t="s">
        <v>73</v>
      </c>
      <c r="I2" s="67" t="s">
        <v>74</v>
      </c>
      <c r="J2" s="67" t="s">
        <v>75</v>
      </c>
      <c r="K2" s="67" t="s">
        <v>76</v>
      </c>
    </row>
    <row r="3" spans="1:11" ht="33.75" x14ac:dyDescent="0.25">
      <c r="A3" s="69" t="s">
        <v>1</v>
      </c>
      <c r="B3" s="70">
        <v>22377804.719999999</v>
      </c>
      <c r="C3" s="70">
        <v>23351606.629999999</v>
      </c>
      <c r="D3" s="70">
        <v>278296.7</v>
      </c>
      <c r="E3" s="70">
        <v>340116.97</v>
      </c>
      <c r="F3" s="70">
        <v>452006.75</v>
      </c>
      <c r="G3" s="70">
        <v>905066.28</v>
      </c>
      <c r="H3" s="72">
        <v>100.23</v>
      </c>
      <c r="I3" s="70">
        <v>1129236.25</v>
      </c>
      <c r="J3" s="70">
        <v>1183687.8500000001</v>
      </c>
      <c r="K3" s="71">
        <v>4.82</v>
      </c>
    </row>
    <row r="4" spans="1:11" ht="33.75" x14ac:dyDescent="0.25">
      <c r="A4" s="69" t="s">
        <v>2</v>
      </c>
      <c r="B4" s="70">
        <v>2296569.0099999998</v>
      </c>
      <c r="C4" s="70">
        <v>2507130.58</v>
      </c>
      <c r="D4" s="70">
        <v>2450.86</v>
      </c>
      <c r="E4" s="73">
        <v>906.39</v>
      </c>
      <c r="F4" s="70">
        <v>22035.74</v>
      </c>
      <c r="G4" s="70">
        <v>72053.38</v>
      </c>
      <c r="H4" s="72">
        <v>226.98</v>
      </c>
      <c r="I4" s="70">
        <v>112435</v>
      </c>
      <c r="J4" s="70">
        <v>134775</v>
      </c>
      <c r="K4" s="71">
        <v>19.87</v>
      </c>
    </row>
    <row r="5" spans="1:11" ht="33.75" x14ac:dyDescent="0.25">
      <c r="A5" s="69" t="s">
        <v>3</v>
      </c>
      <c r="B5" s="70">
        <v>8754757.2799999993</v>
      </c>
      <c r="C5" s="70">
        <v>17154613.550000001</v>
      </c>
      <c r="D5" s="70">
        <v>2613.98</v>
      </c>
      <c r="E5" s="70">
        <v>219251.72</v>
      </c>
      <c r="F5" s="70">
        <v>11687.46</v>
      </c>
      <c r="G5" s="70">
        <v>26162.53</v>
      </c>
      <c r="H5" s="72">
        <v>123.85</v>
      </c>
      <c r="I5" s="70">
        <v>881288</v>
      </c>
      <c r="J5" s="70">
        <v>950479.86</v>
      </c>
      <c r="K5" s="71">
        <v>7.85</v>
      </c>
    </row>
    <row r="6" spans="1:11" ht="22.5" x14ac:dyDescent="0.25">
      <c r="A6" s="69" t="s">
        <v>77</v>
      </c>
      <c r="B6" s="70">
        <v>4542573.78</v>
      </c>
      <c r="C6" s="70">
        <v>4838116.6100000003</v>
      </c>
      <c r="D6" s="70">
        <v>11020.27</v>
      </c>
      <c r="E6" s="70">
        <v>7451.91</v>
      </c>
      <c r="F6" s="70">
        <v>92272.09</v>
      </c>
      <c r="G6" s="70">
        <v>78740.600000000006</v>
      </c>
      <c r="H6" s="74">
        <v>-14.66</v>
      </c>
      <c r="I6" s="70">
        <v>482764.14</v>
      </c>
      <c r="J6" s="70">
        <v>502046.11</v>
      </c>
      <c r="K6" s="71">
        <v>3.99</v>
      </c>
    </row>
    <row r="7" spans="1:11" ht="56.25" x14ac:dyDescent="0.25">
      <c r="A7" s="69" t="s">
        <v>4</v>
      </c>
      <c r="B7" s="70">
        <v>3156377.33</v>
      </c>
      <c r="C7" s="70">
        <v>3261158.66</v>
      </c>
      <c r="D7" s="70">
        <v>8713.2800000000007</v>
      </c>
      <c r="E7" s="70">
        <v>11393.01</v>
      </c>
      <c r="F7" s="70">
        <v>96077.08</v>
      </c>
      <c r="G7" s="70">
        <v>69063.679999999993</v>
      </c>
      <c r="H7" s="74">
        <v>-28.12</v>
      </c>
      <c r="I7" s="70">
        <v>193900</v>
      </c>
      <c r="J7" s="70">
        <v>215080.68</v>
      </c>
      <c r="K7" s="71">
        <v>10.92</v>
      </c>
    </row>
    <row r="8" spans="1:11" ht="45" x14ac:dyDescent="0.25">
      <c r="A8" s="69" t="s">
        <v>6</v>
      </c>
      <c r="B8" s="70">
        <v>8782254.2200000007</v>
      </c>
      <c r="C8" s="70">
        <v>8996043.75</v>
      </c>
      <c r="D8" s="70">
        <v>114550.21</v>
      </c>
      <c r="E8" s="70">
        <v>152767.69</v>
      </c>
      <c r="F8" s="70">
        <v>215004.99</v>
      </c>
      <c r="G8" s="70">
        <v>7136.64</v>
      </c>
      <c r="H8" s="74">
        <v>-96.68</v>
      </c>
      <c r="I8" s="70">
        <v>560636.86</v>
      </c>
      <c r="J8" s="70">
        <v>634099.98</v>
      </c>
      <c r="K8" s="71">
        <v>13.1</v>
      </c>
    </row>
    <row r="9" spans="1:11" ht="45" x14ac:dyDescent="0.25">
      <c r="A9" s="69" t="s">
        <v>78</v>
      </c>
      <c r="B9" s="70">
        <v>355110.48</v>
      </c>
      <c r="C9" s="70">
        <v>588123</v>
      </c>
      <c r="D9" s="70">
        <v>523268.55</v>
      </c>
      <c r="E9" s="70">
        <v>777854.89</v>
      </c>
      <c r="F9" s="70">
        <v>195120.68</v>
      </c>
      <c r="G9" s="70">
        <v>212416.17</v>
      </c>
      <c r="H9" s="71">
        <v>8.86</v>
      </c>
      <c r="I9" s="76"/>
      <c r="J9" s="76"/>
      <c r="K9" s="76"/>
    </row>
    <row r="10" spans="1:11" ht="33.75" x14ac:dyDescent="0.25">
      <c r="A10" s="69" t="s">
        <v>79</v>
      </c>
      <c r="B10" s="70">
        <v>7704969.7000000002</v>
      </c>
      <c r="C10" s="70">
        <v>7938370.4100000001</v>
      </c>
      <c r="D10" s="70">
        <v>2377.61</v>
      </c>
      <c r="E10" s="70">
        <v>1774.77</v>
      </c>
      <c r="F10" s="70">
        <v>129751.79</v>
      </c>
      <c r="G10" s="70">
        <v>88712.51</v>
      </c>
      <c r="H10" s="74">
        <v>-31.63</v>
      </c>
      <c r="I10" s="70">
        <v>589193.38</v>
      </c>
      <c r="J10" s="70">
        <v>631865.67000000004</v>
      </c>
      <c r="K10" s="71">
        <v>7.24</v>
      </c>
    </row>
    <row r="11" spans="1:11" ht="45" x14ac:dyDescent="0.25">
      <c r="A11" s="69" t="s">
        <v>8</v>
      </c>
      <c r="B11" s="70">
        <v>6331291.4800000004</v>
      </c>
      <c r="C11" s="70">
        <v>6642878.6900000004</v>
      </c>
      <c r="D11" s="73">
        <v>848.46</v>
      </c>
      <c r="E11" s="70">
        <v>3409.33</v>
      </c>
      <c r="F11" s="70">
        <v>55561.33</v>
      </c>
      <c r="G11" s="70">
        <v>65470.52</v>
      </c>
      <c r="H11" s="71">
        <v>17.829999999999998</v>
      </c>
      <c r="I11" s="70">
        <v>357491.39</v>
      </c>
      <c r="J11" s="70">
        <v>407617.55</v>
      </c>
      <c r="K11" s="71">
        <v>14.02</v>
      </c>
    </row>
    <row r="12" spans="1:11" ht="33.75" x14ac:dyDescent="0.25">
      <c r="A12" s="69" t="s">
        <v>80</v>
      </c>
      <c r="B12" s="70">
        <v>2678924.7999999998</v>
      </c>
      <c r="C12" s="70">
        <v>2734748.75</v>
      </c>
      <c r="D12" s="76"/>
      <c r="E12" s="76"/>
      <c r="F12" s="70">
        <v>70914.95</v>
      </c>
      <c r="G12" s="70">
        <v>47903.25</v>
      </c>
      <c r="H12" s="74">
        <v>-32.450000000000003</v>
      </c>
      <c r="I12" s="70">
        <v>162365</v>
      </c>
      <c r="J12" s="70">
        <v>163004</v>
      </c>
      <c r="K12" s="71">
        <v>0.39</v>
      </c>
    </row>
    <row r="13" spans="1:11" ht="33.75" x14ac:dyDescent="0.25">
      <c r="A13" s="69" t="s">
        <v>81</v>
      </c>
      <c r="B13" s="70">
        <v>1946841.63</v>
      </c>
      <c r="C13" s="70">
        <v>2039816.35</v>
      </c>
      <c r="D13" s="76"/>
      <c r="E13" s="76"/>
      <c r="F13" s="70">
        <v>86972.6</v>
      </c>
      <c r="G13" s="70">
        <v>69615.789999999994</v>
      </c>
      <c r="H13" s="74">
        <v>-19.96</v>
      </c>
      <c r="I13" s="70">
        <v>113910</v>
      </c>
      <c r="J13" s="70">
        <v>117730</v>
      </c>
      <c r="K13" s="71">
        <v>3.35</v>
      </c>
    </row>
    <row r="14" spans="1:11" ht="67.5" x14ac:dyDescent="0.25">
      <c r="A14" s="69" t="s">
        <v>10</v>
      </c>
      <c r="B14" s="70">
        <v>15570538.48</v>
      </c>
      <c r="C14" s="70">
        <v>16522919.58</v>
      </c>
      <c r="D14" s="70">
        <v>175447.9</v>
      </c>
      <c r="E14" s="70">
        <v>175749.88</v>
      </c>
      <c r="F14" s="70">
        <v>272389.03000000003</v>
      </c>
      <c r="G14" s="70">
        <v>167844</v>
      </c>
      <c r="H14" s="74">
        <v>-38.380000000000003</v>
      </c>
      <c r="I14" s="70">
        <v>787796.12</v>
      </c>
      <c r="J14" s="70">
        <v>797764.07</v>
      </c>
      <c r="K14" s="71">
        <v>1.27</v>
      </c>
    </row>
    <row r="15" spans="1:11" ht="56.25" x14ac:dyDescent="0.25">
      <c r="A15" s="69" t="s">
        <v>11</v>
      </c>
      <c r="B15" s="70">
        <v>3787951.38</v>
      </c>
      <c r="C15" s="70">
        <v>4053690.1</v>
      </c>
      <c r="D15" s="70">
        <v>46493.04</v>
      </c>
      <c r="E15" s="70">
        <v>36903.589999999997</v>
      </c>
      <c r="F15" s="70">
        <v>76596.06</v>
      </c>
      <c r="G15" s="70">
        <v>67225.78</v>
      </c>
      <c r="H15" s="74">
        <v>-12.23</v>
      </c>
      <c r="I15" s="70">
        <v>218845.31</v>
      </c>
      <c r="J15" s="70">
        <v>210064.82</v>
      </c>
      <c r="K15" s="74">
        <v>-4.01</v>
      </c>
    </row>
    <row r="16" spans="1:11" ht="33.75" x14ac:dyDescent="0.25">
      <c r="A16" s="69" t="s">
        <v>82</v>
      </c>
      <c r="B16" s="70">
        <v>1249323.73</v>
      </c>
      <c r="C16" s="70">
        <v>1169466.93</v>
      </c>
      <c r="D16" s="76"/>
      <c r="E16" s="76"/>
      <c r="F16" s="70">
        <v>45056</v>
      </c>
      <c r="G16" s="70">
        <v>48539.49</v>
      </c>
      <c r="H16" s="71">
        <v>7.73</v>
      </c>
      <c r="I16" s="70">
        <v>78718</v>
      </c>
      <c r="J16" s="70">
        <v>77745</v>
      </c>
      <c r="K16" s="74">
        <v>-1.24</v>
      </c>
    </row>
    <row r="17" spans="1:11" ht="56.25" x14ac:dyDescent="0.25">
      <c r="A17" s="69" t="s">
        <v>12</v>
      </c>
      <c r="B17" s="70">
        <v>19295921.5</v>
      </c>
      <c r="C17" s="70">
        <v>20005520.420000002</v>
      </c>
      <c r="D17" s="70">
        <v>173219.16</v>
      </c>
      <c r="E17" s="70">
        <v>214768.75</v>
      </c>
      <c r="F17" s="70">
        <v>10841.97</v>
      </c>
      <c r="G17" s="70">
        <v>223063.28</v>
      </c>
      <c r="H17" s="75">
        <v>1957.41</v>
      </c>
      <c r="I17" s="70">
        <v>918662.31</v>
      </c>
      <c r="J17" s="70">
        <v>977675.27</v>
      </c>
      <c r="K17" s="71">
        <v>6.42</v>
      </c>
    </row>
    <row r="18" spans="1:11" ht="56.25" x14ac:dyDescent="0.25">
      <c r="A18" s="69" t="s">
        <v>13</v>
      </c>
      <c r="B18" s="70">
        <v>21928287.18</v>
      </c>
      <c r="C18" s="70">
        <v>22951289.809999999</v>
      </c>
      <c r="D18" s="70">
        <v>245143.75</v>
      </c>
      <c r="E18" s="70">
        <v>240439.15</v>
      </c>
      <c r="F18" s="70">
        <v>258047.3</v>
      </c>
      <c r="G18" s="70">
        <v>8926.9500000000007</v>
      </c>
      <c r="H18" s="74">
        <v>-96.54</v>
      </c>
      <c r="I18" s="70">
        <v>1075360.1000000001</v>
      </c>
      <c r="J18" s="70">
        <v>1145454.28</v>
      </c>
      <c r="K18" s="71">
        <v>6.52</v>
      </c>
    </row>
    <row r="19" spans="1:11" ht="56.25" x14ac:dyDescent="0.25">
      <c r="A19" s="69" t="s">
        <v>14</v>
      </c>
      <c r="B19" s="70">
        <v>16592421.289999999</v>
      </c>
      <c r="C19" s="70">
        <v>17127476.359999999</v>
      </c>
      <c r="D19" s="70">
        <v>166414.34</v>
      </c>
      <c r="E19" s="70">
        <v>161633.35999999999</v>
      </c>
      <c r="F19" s="70">
        <v>21085.25</v>
      </c>
      <c r="G19" s="70">
        <v>191602.47</v>
      </c>
      <c r="H19" s="72">
        <v>808.7</v>
      </c>
      <c r="I19" s="70">
        <v>775214.89</v>
      </c>
      <c r="J19" s="70">
        <v>741443.19</v>
      </c>
      <c r="K19" s="74">
        <v>-4.3600000000000003</v>
      </c>
    </row>
    <row r="20" spans="1:11" ht="45" x14ac:dyDescent="0.25">
      <c r="A20" s="69" t="s">
        <v>15</v>
      </c>
      <c r="B20" s="70">
        <v>24732366.73</v>
      </c>
      <c r="C20" s="70">
        <v>26507855.93</v>
      </c>
      <c r="D20" s="70">
        <v>138177.79</v>
      </c>
      <c r="E20" s="70">
        <v>128859.79</v>
      </c>
      <c r="F20" s="70">
        <v>19775.87</v>
      </c>
      <c r="G20" s="70">
        <v>37976.69</v>
      </c>
      <c r="H20" s="72">
        <v>92.04</v>
      </c>
      <c r="I20" s="70">
        <v>949887.36</v>
      </c>
      <c r="J20" s="70">
        <v>975832.29</v>
      </c>
      <c r="K20" s="71">
        <v>2.73</v>
      </c>
    </row>
    <row r="21" spans="1:11" ht="56.25" x14ac:dyDescent="0.25">
      <c r="A21" s="69" t="s">
        <v>83</v>
      </c>
      <c r="B21" s="70">
        <v>612280.73</v>
      </c>
      <c r="C21" s="70">
        <v>624952.62</v>
      </c>
      <c r="D21" s="76"/>
      <c r="E21" s="76"/>
      <c r="F21" s="70">
        <v>42742.55</v>
      </c>
      <c r="G21" s="70">
        <v>25872.43</v>
      </c>
      <c r="H21" s="74">
        <v>-39.47</v>
      </c>
      <c r="I21" s="70">
        <v>35533</v>
      </c>
      <c r="J21" s="70">
        <v>36768</v>
      </c>
      <c r="K21" s="71">
        <v>3.48</v>
      </c>
    </row>
    <row r="22" spans="1:11" ht="56.25" x14ac:dyDescent="0.25">
      <c r="A22" s="69" t="s">
        <v>16</v>
      </c>
      <c r="B22" s="70">
        <v>6727481.3700000001</v>
      </c>
      <c r="C22" s="70">
        <v>6716259.54</v>
      </c>
      <c r="D22" s="70">
        <v>85377.279999999999</v>
      </c>
      <c r="E22" s="70">
        <v>95607.75</v>
      </c>
      <c r="F22" s="70">
        <v>167922.88</v>
      </c>
      <c r="G22" s="70">
        <v>134250.79999999999</v>
      </c>
      <c r="H22" s="74">
        <v>-20.05</v>
      </c>
      <c r="I22" s="70">
        <v>464714.09</v>
      </c>
      <c r="J22" s="70">
        <v>525654.44999999995</v>
      </c>
      <c r="K22" s="71">
        <v>13.11</v>
      </c>
    </row>
    <row r="23" spans="1:11" ht="56.25" x14ac:dyDescent="0.25">
      <c r="A23" s="69" t="s">
        <v>17</v>
      </c>
      <c r="B23" s="70">
        <v>30236809.890000001</v>
      </c>
      <c r="C23" s="70">
        <v>32052691.809999999</v>
      </c>
      <c r="D23" s="70">
        <v>235038.9</v>
      </c>
      <c r="E23" s="70">
        <v>217352.95</v>
      </c>
      <c r="F23" s="70">
        <v>405668.69</v>
      </c>
      <c r="G23" s="70">
        <v>24274.43</v>
      </c>
      <c r="H23" s="74">
        <v>-94.02</v>
      </c>
      <c r="I23" s="70">
        <v>1233206.29</v>
      </c>
      <c r="J23" s="70">
        <v>1246929.07</v>
      </c>
      <c r="K23" s="71">
        <v>1.1100000000000001</v>
      </c>
    </row>
    <row r="24" spans="1:11" ht="56.25" x14ac:dyDescent="0.25">
      <c r="A24" s="69" t="s">
        <v>18</v>
      </c>
      <c r="B24" s="70">
        <v>16641580.289999999</v>
      </c>
      <c r="C24" s="70">
        <v>17428018.870000001</v>
      </c>
      <c r="D24" s="70">
        <v>146123.65</v>
      </c>
      <c r="E24" s="70">
        <v>144469.66</v>
      </c>
      <c r="F24" s="70">
        <v>275905.56</v>
      </c>
      <c r="G24" s="70">
        <v>261264.45</v>
      </c>
      <c r="H24" s="74">
        <v>-5.31</v>
      </c>
      <c r="I24" s="70">
        <v>824999.73</v>
      </c>
      <c r="J24" s="70">
        <v>893976.07</v>
      </c>
      <c r="K24" s="71">
        <v>8.36</v>
      </c>
    </row>
    <row r="25" spans="1:11" ht="56.25" x14ac:dyDescent="0.25">
      <c r="A25" s="69" t="s">
        <v>19</v>
      </c>
      <c r="B25" s="70">
        <v>1178225.1299999999</v>
      </c>
      <c r="C25" s="70">
        <v>1151560.95</v>
      </c>
      <c r="D25" s="70">
        <v>14922.41</v>
      </c>
      <c r="E25" s="70">
        <v>33622.300000000003</v>
      </c>
      <c r="F25" s="76"/>
      <c r="G25" s="70">
        <v>55662.48</v>
      </c>
      <c r="H25" s="72">
        <v>100</v>
      </c>
      <c r="I25" s="70">
        <v>64147.12</v>
      </c>
      <c r="J25" s="70">
        <v>31024.29</v>
      </c>
      <c r="K25" s="74">
        <v>-51.64</v>
      </c>
    </row>
    <row r="26" spans="1:11" ht="56.25" x14ac:dyDescent="0.25">
      <c r="A26" s="69" t="s">
        <v>20</v>
      </c>
      <c r="B26" s="70">
        <v>3227731.96</v>
      </c>
      <c r="C26" s="70">
        <v>3213559.51</v>
      </c>
      <c r="D26" s="70">
        <v>45634.55</v>
      </c>
      <c r="E26" s="70">
        <v>32154.19</v>
      </c>
      <c r="F26" s="70">
        <v>68818.87</v>
      </c>
      <c r="G26" s="70">
        <v>3780.6</v>
      </c>
      <c r="H26" s="74">
        <v>-94.51</v>
      </c>
      <c r="I26" s="70">
        <v>189660.15</v>
      </c>
      <c r="J26" s="70">
        <v>205546.67</v>
      </c>
      <c r="K26" s="71">
        <v>8.3800000000000008</v>
      </c>
    </row>
    <row r="27" spans="1:11" x14ac:dyDescent="0.25">
      <c r="A27" s="77" t="s">
        <v>84</v>
      </c>
      <c r="B27" s="78">
        <v>230708394.09</v>
      </c>
      <c r="C27" s="78">
        <v>249577869.41</v>
      </c>
      <c r="D27" s="78">
        <v>2416132.69</v>
      </c>
      <c r="E27" s="78">
        <v>2996488.05</v>
      </c>
      <c r="F27" s="78">
        <v>3092255.49</v>
      </c>
      <c r="G27" s="78">
        <v>2892625.2</v>
      </c>
      <c r="H27" s="80">
        <v>117.49</v>
      </c>
      <c r="I27" s="78">
        <v>12199964.49</v>
      </c>
      <c r="J27" s="78">
        <v>12806264.17</v>
      </c>
      <c r="K27" s="79">
        <v>3.15</v>
      </c>
    </row>
  </sheetData>
  <mergeCells count="4">
    <mergeCell ref="B1:C1"/>
    <mergeCell ref="D1:E1"/>
    <mergeCell ref="F1:H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7EBC-4A47-4FB5-B8C3-042AB9140873}">
  <dimension ref="A1:T36"/>
  <sheetViews>
    <sheetView zoomScale="85" zoomScaleNormal="85" workbookViewId="0">
      <selection activeCell="M3" sqref="M3:P36"/>
    </sheetView>
  </sheetViews>
  <sheetFormatPr defaultRowHeight="15" x14ac:dyDescent="0.25"/>
  <cols>
    <col min="1" max="1" width="15.85546875" customWidth="1"/>
    <col min="2" max="2" width="21.28515625" style="1" customWidth="1"/>
    <col min="3" max="4" width="15.85546875" customWidth="1"/>
    <col min="5" max="5" width="30.28515625" style="1" customWidth="1"/>
    <col min="6" max="6" width="15.85546875" customWidth="1"/>
    <col min="7" max="7" width="19.28515625" style="1" customWidth="1"/>
    <col min="8" max="8" width="15.140625" style="1" customWidth="1"/>
    <col min="9" max="12" width="15.7109375" style="1" customWidth="1"/>
    <col min="13" max="15" width="13.28515625" style="2" customWidth="1"/>
    <col min="16" max="16" width="16.7109375" style="2" customWidth="1"/>
    <col min="17" max="17" width="15.28515625" customWidth="1"/>
    <col min="18" max="18" width="13.28515625" customWidth="1"/>
  </cols>
  <sheetData>
    <row r="1" spans="1:20" x14ac:dyDescent="0.25">
      <c r="A1" s="35" t="s">
        <v>53</v>
      </c>
      <c r="B1" s="36" t="s">
        <v>31</v>
      </c>
      <c r="C1" s="36" t="s">
        <v>29</v>
      </c>
      <c r="D1" s="36" t="s">
        <v>30</v>
      </c>
      <c r="E1" s="36" t="s">
        <v>32</v>
      </c>
      <c r="F1" s="36" t="s">
        <v>33</v>
      </c>
      <c r="G1" s="37" t="s">
        <v>51</v>
      </c>
      <c r="H1" s="37" t="s">
        <v>52</v>
      </c>
      <c r="I1" s="38" t="s">
        <v>54</v>
      </c>
      <c r="J1" s="38" t="s">
        <v>55</v>
      </c>
      <c r="K1" s="38" t="s">
        <v>56</v>
      </c>
      <c r="L1" s="38" t="s">
        <v>57</v>
      </c>
      <c r="M1" s="39" t="s">
        <v>54</v>
      </c>
      <c r="N1" s="39" t="s">
        <v>55</v>
      </c>
      <c r="O1" s="39" t="s">
        <v>56</v>
      </c>
      <c r="P1" s="40" t="s">
        <v>57</v>
      </c>
    </row>
    <row r="2" spans="1:20" ht="15.75" thickBot="1" x14ac:dyDescent="0.3">
      <c r="A2" s="41"/>
      <c r="B2" s="42"/>
      <c r="C2" s="42"/>
      <c r="D2" s="42"/>
      <c r="E2" s="42"/>
      <c r="F2" s="42"/>
      <c r="G2" s="43">
        <v>100</v>
      </c>
      <c r="H2" s="43"/>
      <c r="I2" s="44" t="s">
        <v>60</v>
      </c>
      <c r="J2" s="44" t="s">
        <v>60</v>
      </c>
      <c r="K2" s="44" t="s">
        <v>60</v>
      </c>
      <c r="L2" s="44" t="s">
        <v>60</v>
      </c>
      <c r="M2" s="45">
        <v>20</v>
      </c>
      <c r="N2" s="45">
        <v>100</v>
      </c>
      <c r="O2" s="45">
        <v>15</v>
      </c>
      <c r="P2" s="46">
        <v>10</v>
      </c>
      <c r="S2" s="48">
        <f>MAX(R3:R19)</f>
        <v>0</v>
      </c>
      <c r="T2" s="50">
        <f>MAX(R20:R36)</f>
        <v>0</v>
      </c>
    </row>
    <row r="3" spans="1:20" x14ac:dyDescent="0.25">
      <c r="A3" s="12" t="s">
        <v>59</v>
      </c>
      <c r="B3" s="5" t="s">
        <v>0</v>
      </c>
      <c r="C3" s="31" t="s">
        <v>22</v>
      </c>
      <c r="D3" s="31" t="s">
        <v>26</v>
      </c>
      <c r="E3" s="30" t="s">
        <v>1</v>
      </c>
      <c r="F3" s="31" t="s">
        <v>36</v>
      </c>
      <c r="G3" s="32">
        <v>19591959</v>
      </c>
      <c r="H3" s="33">
        <v>23351606.629999999</v>
      </c>
      <c r="I3" s="33">
        <v>340116.97</v>
      </c>
      <c r="J3" s="33">
        <v>905066.28</v>
      </c>
      <c r="K3" s="33">
        <v>1183687.8500000001</v>
      </c>
      <c r="L3" s="34">
        <v>415908.174</v>
      </c>
      <c r="M3" s="18">
        <v>0</v>
      </c>
      <c r="N3" s="19">
        <v>0</v>
      </c>
      <c r="O3" s="19">
        <v>0</v>
      </c>
      <c r="P3" s="20">
        <v>0</v>
      </c>
      <c r="Q3" s="47">
        <f>H3*O3</f>
        <v>0</v>
      </c>
      <c r="R3" s="48">
        <f>IF(Q3/K3&gt;2,2,Q3/K3)</f>
        <v>0</v>
      </c>
      <c r="S3" s="49" t="e">
        <f>R3/$S$2*$O$2</f>
        <v>#DIV/0!</v>
      </c>
    </row>
    <row r="4" spans="1:20" x14ac:dyDescent="0.25">
      <c r="A4" s="12" t="s">
        <v>59</v>
      </c>
      <c r="B4" s="14" t="s">
        <v>0</v>
      </c>
      <c r="C4" s="13" t="s">
        <v>22</v>
      </c>
      <c r="D4" s="13" t="s">
        <v>26</v>
      </c>
      <c r="E4" s="14" t="s">
        <v>2</v>
      </c>
      <c r="F4" s="13" t="s">
        <v>34</v>
      </c>
      <c r="G4" s="15">
        <v>1938784</v>
      </c>
      <c r="H4" s="16">
        <v>2507130.58</v>
      </c>
      <c r="I4" s="16">
        <v>906.39</v>
      </c>
      <c r="J4" s="16">
        <v>72053.38</v>
      </c>
      <c r="K4" s="16">
        <v>134775</v>
      </c>
      <c r="L4" s="17">
        <v>12052.344999999999</v>
      </c>
      <c r="M4" s="18">
        <v>0</v>
      </c>
      <c r="N4" s="19">
        <v>0</v>
      </c>
      <c r="O4" s="19">
        <v>0</v>
      </c>
      <c r="P4" s="20">
        <v>0</v>
      </c>
      <c r="Q4" s="47">
        <f t="shared" ref="Q4:Q36" si="0">H4*O4</f>
        <v>0</v>
      </c>
      <c r="R4" s="48">
        <f t="shared" ref="R4:R36" si="1">IF(Q4/K4&gt;2,2,Q4/K4)</f>
        <v>0</v>
      </c>
      <c r="S4" s="49" t="e">
        <f t="shared" ref="S4:S19" si="2">R4/$S$2*$O$2</f>
        <v>#DIV/0!</v>
      </c>
    </row>
    <row r="5" spans="1:20" x14ac:dyDescent="0.25">
      <c r="A5" s="12" t="s">
        <v>59</v>
      </c>
      <c r="B5" s="14" t="s">
        <v>0</v>
      </c>
      <c r="C5" s="13" t="s">
        <v>22</v>
      </c>
      <c r="D5" s="13" t="s">
        <v>26</v>
      </c>
      <c r="E5" s="14" t="s">
        <v>3</v>
      </c>
      <c r="F5" s="13" t="s">
        <v>35</v>
      </c>
      <c r="G5" s="15">
        <v>22755058</v>
      </c>
      <c r="H5" s="16">
        <v>17154613.550000001</v>
      </c>
      <c r="I5" s="16">
        <v>219251.72</v>
      </c>
      <c r="J5" s="16">
        <v>26162.53</v>
      </c>
      <c r="K5" s="16">
        <v>950479.86</v>
      </c>
      <c r="L5" s="17">
        <v>355339.39600000001</v>
      </c>
      <c r="M5" s="18">
        <v>0</v>
      </c>
      <c r="N5" s="19">
        <v>0</v>
      </c>
      <c r="O5" s="19">
        <v>0</v>
      </c>
      <c r="P5" s="20">
        <v>0</v>
      </c>
      <c r="Q5" s="47">
        <f t="shared" si="0"/>
        <v>0</v>
      </c>
      <c r="R5" s="48">
        <f t="shared" si="1"/>
        <v>0</v>
      </c>
      <c r="S5" s="49" t="e">
        <f t="shared" si="2"/>
        <v>#DIV/0!</v>
      </c>
    </row>
    <row r="6" spans="1:20" ht="16.5" customHeight="1" x14ac:dyDescent="0.25">
      <c r="A6" s="12" t="s">
        <v>59</v>
      </c>
      <c r="B6" s="14" t="s">
        <v>0</v>
      </c>
      <c r="C6" s="13" t="s">
        <v>22</v>
      </c>
      <c r="D6" s="13" t="s">
        <v>26</v>
      </c>
      <c r="E6" s="14" t="s">
        <v>4</v>
      </c>
      <c r="F6" s="13" t="s">
        <v>37</v>
      </c>
      <c r="G6" s="15">
        <v>2686986</v>
      </c>
      <c r="H6" s="16">
        <v>3261158.66</v>
      </c>
      <c r="I6" s="16">
        <v>11393.01</v>
      </c>
      <c r="J6" s="16">
        <v>69063.679999999993</v>
      </c>
      <c r="K6" s="16">
        <v>215080.68</v>
      </c>
      <c r="L6" s="17">
        <v>10297.922</v>
      </c>
      <c r="M6" s="18">
        <v>0</v>
      </c>
      <c r="N6" s="19">
        <v>0</v>
      </c>
      <c r="O6" s="19">
        <v>0</v>
      </c>
      <c r="P6" s="20">
        <v>0</v>
      </c>
      <c r="Q6" s="47">
        <f t="shared" si="0"/>
        <v>0</v>
      </c>
      <c r="R6" s="48">
        <f t="shared" si="1"/>
        <v>0</v>
      </c>
      <c r="S6" s="49" t="e">
        <f t="shared" si="2"/>
        <v>#DIV/0!</v>
      </c>
    </row>
    <row r="7" spans="1:20" x14ac:dyDescent="0.25">
      <c r="A7" s="12" t="s">
        <v>59</v>
      </c>
      <c r="B7" s="14" t="s">
        <v>5</v>
      </c>
      <c r="C7" s="13" t="s">
        <v>23</v>
      </c>
      <c r="D7" s="13" t="s">
        <v>27</v>
      </c>
      <c r="E7" s="14" t="s">
        <v>6</v>
      </c>
      <c r="F7" s="13" t="s">
        <v>39</v>
      </c>
      <c r="G7" s="15">
        <v>9091366</v>
      </c>
      <c r="H7" s="16">
        <v>8996043.75</v>
      </c>
      <c r="I7" s="16">
        <v>152767.69</v>
      </c>
      <c r="J7" s="16">
        <v>7136.64</v>
      </c>
      <c r="K7" s="16">
        <v>634099.98</v>
      </c>
      <c r="L7" s="17">
        <v>280739.12400000001</v>
      </c>
      <c r="M7" s="18">
        <v>0</v>
      </c>
      <c r="N7" s="19">
        <v>0</v>
      </c>
      <c r="O7" s="19">
        <v>0</v>
      </c>
      <c r="P7" s="20">
        <v>0</v>
      </c>
      <c r="Q7" s="47">
        <f t="shared" si="0"/>
        <v>0</v>
      </c>
      <c r="R7" s="48">
        <f t="shared" si="1"/>
        <v>0</v>
      </c>
      <c r="S7" s="49" t="e">
        <f t="shared" si="2"/>
        <v>#DIV/0!</v>
      </c>
    </row>
    <row r="8" spans="1:20" x14ac:dyDescent="0.25">
      <c r="A8" s="12" t="s">
        <v>59</v>
      </c>
      <c r="B8" s="14" t="s">
        <v>7</v>
      </c>
      <c r="C8" s="13" t="s">
        <v>21</v>
      </c>
      <c r="D8" s="13" t="s">
        <v>25</v>
      </c>
      <c r="E8" s="14" t="s">
        <v>8</v>
      </c>
      <c r="F8" s="13" t="s">
        <v>40</v>
      </c>
      <c r="G8" s="15">
        <v>6743579</v>
      </c>
      <c r="H8" s="16">
        <v>6642878.6900000004</v>
      </c>
      <c r="I8" s="16">
        <v>3409.33</v>
      </c>
      <c r="J8" s="16">
        <v>65470.52</v>
      </c>
      <c r="K8" s="16">
        <v>407617.55</v>
      </c>
      <c r="L8" s="17">
        <v>91207.59</v>
      </c>
      <c r="M8" s="18">
        <v>0</v>
      </c>
      <c r="N8" s="19">
        <v>0</v>
      </c>
      <c r="O8" s="19">
        <v>0</v>
      </c>
      <c r="P8" s="20">
        <v>0</v>
      </c>
      <c r="Q8" s="47">
        <f t="shared" si="0"/>
        <v>0</v>
      </c>
      <c r="R8" s="48">
        <f t="shared" si="1"/>
        <v>0</v>
      </c>
      <c r="S8" s="49" t="e">
        <f t="shared" si="2"/>
        <v>#DIV/0!</v>
      </c>
    </row>
    <row r="9" spans="1:20" x14ac:dyDescent="0.25">
      <c r="A9" s="12" t="s">
        <v>59</v>
      </c>
      <c r="B9" s="14" t="s">
        <v>9</v>
      </c>
      <c r="C9" s="13" t="s">
        <v>24</v>
      </c>
      <c r="D9" s="13" t="s">
        <v>28</v>
      </c>
      <c r="E9" s="14" t="s">
        <v>10</v>
      </c>
      <c r="F9" s="13" t="s">
        <v>41</v>
      </c>
      <c r="G9" s="15">
        <v>15993683</v>
      </c>
      <c r="H9" s="16">
        <v>16522919.58</v>
      </c>
      <c r="I9" s="16">
        <v>146350.9</v>
      </c>
      <c r="J9" s="16">
        <v>167073.5</v>
      </c>
      <c r="K9" s="16">
        <v>4292</v>
      </c>
      <c r="L9" s="17">
        <v>320983.74400000001</v>
      </c>
      <c r="M9" s="18">
        <v>0</v>
      </c>
      <c r="N9" s="19">
        <v>0</v>
      </c>
      <c r="O9" s="19">
        <v>0</v>
      </c>
      <c r="P9" s="20">
        <v>0</v>
      </c>
      <c r="Q9" s="47">
        <f>H9*O9</f>
        <v>0</v>
      </c>
      <c r="R9" s="48">
        <f t="shared" si="1"/>
        <v>0</v>
      </c>
      <c r="S9" s="49" t="e">
        <f t="shared" si="2"/>
        <v>#DIV/0!</v>
      </c>
    </row>
    <row r="10" spans="1:20" x14ac:dyDescent="0.25">
      <c r="A10" s="12" t="s">
        <v>59</v>
      </c>
      <c r="B10" s="14" t="s">
        <v>9</v>
      </c>
      <c r="C10" s="13" t="s">
        <v>24</v>
      </c>
      <c r="D10" s="13" t="s">
        <v>28</v>
      </c>
      <c r="E10" s="14" t="s">
        <v>11</v>
      </c>
      <c r="F10" s="13" t="s">
        <v>38</v>
      </c>
      <c r="G10" s="15">
        <v>3868280</v>
      </c>
      <c r="H10" s="16">
        <v>4053690.1</v>
      </c>
      <c r="I10" s="16">
        <v>30464.93</v>
      </c>
      <c r="J10" s="16">
        <v>67225.78</v>
      </c>
      <c r="K10" s="16">
        <v>210065</v>
      </c>
      <c r="L10" s="17">
        <v>37777.313999999998</v>
      </c>
      <c r="M10" s="18">
        <v>0</v>
      </c>
      <c r="N10" s="19">
        <v>0</v>
      </c>
      <c r="O10" s="19">
        <v>0</v>
      </c>
      <c r="P10" s="20">
        <v>0</v>
      </c>
      <c r="Q10" s="47">
        <f t="shared" si="0"/>
        <v>0</v>
      </c>
      <c r="R10" s="48">
        <f t="shared" si="1"/>
        <v>0</v>
      </c>
      <c r="S10" s="49" t="e">
        <f t="shared" si="2"/>
        <v>#DIV/0!</v>
      </c>
    </row>
    <row r="11" spans="1:20" x14ac:dyDescent="0.25">
      <c r="A11" s="12" t="s">
        <v>59</v>
      </c>
      <c r="B11" s="14" t="s">
        <v>9</v>
      </c>
      <c r="C11" s="13" t="s">
        <v>24</v>
      </c>
      <c r="D11" s="13" t="s">
        <v>28</v>
      </c>
      <c r="E11" s="14" t="s">
        <v>12</v>
      </c>
      <c r="F11" s="13" t="s">
        <v>42</v>
      </c>
      <c r="G11" s="15">
        <v>19794522</v>
      </c>
      <c r="H11" s="16">
        <v>20005520.420000002</v>
      </c>
      <c r="I11" s="16">
        <v>188212.22</v>
      </c>
      <c r="J11" s="16">
        <v>223063.28</v>
      </c>
      <c r="K11" s="16">
        <v>6860</v>
      </c>
      <c r="L11" s="17">
        <v>140024.65</v>
      </c>
      <c r="M11" s="18">
        <v>0</v>
      </c>
      <c r="N11" s="19">
        <v>0</v>
      </c>
      <c r="O11" s="19">
        <v>0</v>
      </c>
      <c r="P11" s="20">
        <v>0</v>
      </c>
      <c r="Q11" s="47">
        <f t="shared" si="0"/>
        <v>0</v>
      </c>
      <c r="R11" s="48">
        <f t="shared" si="1"/>
        <v>0</v>
      </c>
      <c r="S11" s="49" t="e">
        <f t="shared" si="2"/>
        <v>#DIV/0!</v>
      </c>
    </row>
    <row r="12" spans="1:20" x14ac:dyDescent="0.25">
      <c r="A12" s="12" t="s">
        <v>59</v>
      </c>
      <c r="B12" s="14" t="s">
        <v>9</v>
      </c>
      <c r="C12" s="13" t="s">
        <v>24</v>
      </c>
      <c r="D12" s="13" t="s">
        <v>28</v>
      </c>
      <c r="E12" s="14" t="s">
        <v>13</v>
      </c>
      <c r="F12" s="13" t="s">
        <v>43</v>
      </c>
      <c r="G12" s="15">
        <v>21909086</v>
      </c>
      <c r="H12" s="16">
        <v>22951289.809999999</v>
      </c>
      <c r="I12" s="16">
        <v>208685.61</v>
      </c>
      <c r="J12" s="16">
        <v>7435.1</v>
      </c>
      <c r="K12" s="16">
        <v>16540</v>
      </c>
      <c r="L12" s="17">
        <v>408158.78700000001</v>
      </c>
      <c r="M12" s="18">
        <v>0</v>
      </c>
      <c r="N12" s="19">
        <v>0</v>
      </c>
      <c r="O12" s="19">
        <v>0</v>
      </c>
      <c r="P12" s="20">
        <v>0</v>
      </c>
      <c r="Q12" s="47">
        <f t="shared" si="0"/>
        <v>0</v>
      </c>
      <c r="R12" s="48">
        <f t="shared" si="1"/>
        <v>0</v>
      </c>
      <c r="S12" s="49" t="e">
        <f t="shared" si="2"/>
        <v>#DIV/0!</v>
      </c>
    </row>
    <row r="13" spans="1:20" x14ac:dyDescent="0.25">
      <c r="A13" s="12" t="s">
        <v>59</v>
      </c>
      <c r="B13" s="14" t="s">
        <v>9</v>
      </c>
      <c r="C13" s="13" t="s">
        <v>24</v>
      </c>
      <c r="D13" s="13" t="s">
        <v>28</v>
      </c>
      <c r="E13" s="14" t="s">
        <v>14</v>
      </c>
      <c r="F13" s="13" t="s">
        <v>44</v>
      </c>
      <c r="G13" s="15">
        <v>17009357</v>
      </c>
      <c r="H13" s="16">
        <v>17127476.359999999</v>
      </c>
      <c r="I13" s="16">
        <v>124955.03</v>
      </c>
      <c r="J13" s="16">
        <v>190824.85</v>
      </c>
      <c r="K13" s="16">
        <v>13718</v>
      </c>
      <c r="L13" s="17">
        <v>129564.88499999999</v>
      </c>
      <c r="M13" s="18">
        <v>0</v>
      </c>
      <c r="N13" s="19">
        <v>0</v>
      </c>
      <c r="O13" s="19">
        <v>0</v>
      </c>
      <c r="P13" s="20">
        <v>0</v>
      </c>
      <c r="Q13" s="47">
        <f t="shared" si="0"/>
        <v>0</v>
      </c>
      <c r="R13" s="48">
        <f t="shared" si="1"/>
        <v>0</v>
      </c>
      <c r="S13" s="49" t="e">
        <f t="shared" si="2"/>
        <v>#DIV/0!</v>
      </c>
    </row>
    <row r="14" spans="1:20" x14ac:dyDescent="0.25">
      <c r="A14" s="12" t="s">
        <v>59</v>
      </c>
      <c r="B14" s="14" t="s">
        <v>9</v>
      </c>
      <c r="C14" s="13" t="s">
        <v>24</v>
      </c>
      <c r="D14" s="13" t="s">
        <v>28</v>
      </c>
      <c r="E14" s="14" t="s">
        <v>15</v>
      </c>
      <c r="F14" s="13" t="s">
        <v>45</v>
      </c>
      <c r="G14" s="15">
        <v>24798734</v>
      </c>
      <c r="H14" s="16">
        <v>26507855.93</v>
      </c>
      <c r="I14" s="16">
        <v>93468.95</v>
      </c>
      <c r="J14" s="16">
        <v>26600.69</v>
      </c>
      <c r="K14" s="16">
        <v>475842</v>
      </c>
      <c r="L14" s="17">
        <v>207175.95800000001</v>
      </c>
      <c r="M14" s="18">
        <v>0</v>
      </c>
      <c r="N14" s="19">
        <v>0</v>
      </c>
      <c r="O14" s="19">
        <v>0</v>
      </c>
      <c r="P14" s="20">
        <v>0</v>
      </c>
      <c r="Q14" s="47">
        <f t="shared" si="0"/>
        <v>0</v>
      </c>
      <c r="R14" s="48">
        <f t="shared" si="1"/>
        <v>0</v>
      </c>
      <c r="S14" s="49" t="e">
        <f t="shared" si="2"/>
        <v>#DIV/0!</v>
      </c>
    </row>
    <row r="15" spans="1:20" x14ac:dyDescent="0.25">
      <c r="A15" s="12" t="s">
        <v>59</v>
      </c>
      <c r="B15" s="14" t="s">
        <v>9</v>
      </c>
      <c r="C15" s="13" t="s">
        <v>24</v>
      </c>
      <c r="D15" s="13" t="s">
        <v>28</v>
      </c>
      <c r="E15" s="14" t="s">
        <v>16</v>
      </c>
      <c r="F15" s="13" t="s">
        <v>46</v>
      </c>
      <c r="G15" s="15">
        <v>6856551</v>
      </c>
      <c r="H15" s="16">
        <v>6716259.54</v>
      </c>
      <c r="I15" s="16">
        <v>83542.95</v>
      </c>
      <c r="J15" s="16">
        <v>134250.79999999999</v>
      </c>
      <c r="K15" s="16">
        <v>226615</v>
      </c>
      <c r="L15" s="17">
        <v>262618.62</v>
      </c>
      <c r="M15" s="18">
        <v>0</v>
      </c>
      <c r="N15" s="19">
        <v>0</v>
      </c>
      <c r="O15" s="19">
        <v>0</v>
      </c>
      <c r="P15" s="20">
        <v>0</v>
      </c>
      <c r="Q15" s="47">
        <f t="shared" si="0"/>
        <v>0</v>
      </c>
      <c r="R15" s="48">
        <f t="shared" si="1"/>
        <v>0</v>
      </c>
      <c r="S15" s="49" t="e">
        <f t="shared" si="2"/>
        <v>#DIV/0!</v>
      </c>
    </row>
    <row r="16" spans="1:20" x14ac:dyDescent="0.25">
      <c r="A16" s="12" t="s">
        <v>59</v>
      </c>
      <c r="B16" s="14" t="s">
        <v>9</v>
      </c>
      <c r="C16" s="13" t="s">
        <v>24</v>
      </c>
      <c r="D16" s="13" t="s">
        <v>28</v>
      </c>
      <c r="E16" s="14" t="s">
        <v>17</v>
      </c>
      <c r="F16" s="13" t="s">
        <v>47</v>
      </c>
      <c r="G16" s="15">
        <v>30621195</v>
      </c>
      <c r="H16" s="16">
        <v>32052691.809999999</v>
      </c>
      <c r="I16" s="16">
        <v>186262.07</v>
      </c>
      <c r="J16" s="16">
        <v>24274.43</v>
      </c>
      <c r="K16" s="16">
        <v>1244568</v>
      </c>
      <c r="L16" s="17">
        <v>332994.59499999997</v>
      </c>
      <c r="M16" s="18">
        <v>0</v>
      </c>
      <c r="N16" s="19">
        <v>0</v>
      </c>
      <c r="O16" s="19">
        <v>0</v>
      </c>
      <c r="P16" s="20">
        <v>0</v>
      </c>
      <c r="Q16" s="47">
        <f t="shared" si="0"/>
        <v>0</v>
      </c>
      <c r="R16" s="48">
        <f t="shared" si="1"/>
        <v>0</v>
      </c>
      <c r="S16" s="49" t="e">
        <f t="shared" si="2"/>
        <v>#DIV/0!</v>
      </c>
    </row>
    <row r="17" spans="1:20" x14ac:dyDescent="0.25">
      <c r="A17" s="12" t="s">
        <v>59</v>
      </c>
      <c r="B17" s="14" t="s">
        <v>9</v>
      </c>
      <c r="C17" s="13" t="s">
        <v>24</v>
      </c>
      <c r="D17" s="13" t="s">
        <v>28</v>
      </c>
      <c r="E17" s="14" t="s">
        <v>18</v>
      </c>
      <c r="F17" s="13" t="s">
        <v>48</v>
      </c>
      <c r="G17" s="15">
        <v>17188836</v>
      </c>
      <c r="H17" s="16">
        <v>17428018.870000001</v>
      </c>
      <c r="I17" s="16">
        <v>116216.48</v>
      </c>
      <c r="J17" s="16">
        <v>259230.85</v>
      </c>
      <c r="K17" s="16">
        <v>431095</v>
      </c>
      <c r="L17" s="17">
        <v>141745.95499999999</v>
      </c>
      <c r="M17" s="18">
        <v>0</v>
      </c>
      <c r="N17" s="19">
        <v>0</v>
      </c>
      <c r="O17" s="19">
        <v>0</v>
      </c>
      <c r="P17" s="20">
        <v>0</v>
      </c>
      <c r="Q17" s="47">
        <f t="shared" si="0"/>
        <v>0</v>
      </c>
      <c r="R17" s="48">
        <f t="shared" si="1"/>
        <v>0</v>
      </c>
      <c r="S17" s="49" t="e">
        <f t="shared" si="2"/>
        <v>#DIV/0!</v>
      </c>
    </row>
    <row r="18" spans="1:20" x14ac:dyDescent="0.25">
      <c r="A18" s="12" t="s">
        <v>59</v>
      </c>
      <c r="B18" s="14" t="s">
        <v>9</v>
      </c>
      <c r="C18" s="13" t="s">
        <v>24</v>
      </c>
      <c r="D18" s="13" t="s">
        <v>28</v>
      </c>
      <c r="E18" s="14" t="s">
        <v>19</v>
      </c>
      <c r="F18" s="13" t="s">
        <v>49</v>
      </c>
      <c r="G18" s="15">
        <v>1219932</v>
      </c>
      <c r="H18" s="16">
        <v>1151560.95</v>
      </c>
      <c r="I18" s="16">
        <v>31147.97</v>
      </c>
      <c r="J18" s="16">
        <v>55662.48</v>
      </c>
      <c r="K18" s="16">
        <v>8988</v>
      </c>
      <c r="L18" s="17">
        <v>39011.692999999999</v>
      </c>
      <c r="M18" s="18">
        <v>0</v>
      </c>
      <c r="N18" s="19">
        <v>0</v>
      </c>
      <c r="O18" s="19">
        <v>0</v>
      </c>
      <c r="P18" s="20">
        <v>0</v>
      </c>
      <c r="Q18" s="47">
        <f t="shared" si="0"/>
        <v>0</v>
      </c>
      <c r="R18" s="48">
        <f t="shared" si="1"/>
        <v>0</v>
      </c>
      <c r="S18" s="49" t="e">
        <f t="shared" si="2"/>
        <v>#DIV/0!</v>
      </c>
    </row>
    <row r="19" spans="1:20" ht="15.75" thickBot="1" x14ac:dyDescent="0.3">
      <c r="A19" s="21" t="s">
        <v>59</v>
      </c>
      <c r="B19" s="23" t="s">
        <v>9</v>
      </c>
      <c r="C19" s="22" t="s">
        <v>24</v>
      </c>
      <c r="D19" s="22" t="s">
        <v>28</v>
      </c>
      <c r="E19" s="23" t="s">
        <v>20</v>
      </c>
      <c r="F19" s="22" t="s">
        <v>50</v>
      </c>
      <c r="G19" s="24">
        <v>3312987</v>
      </c>
      <c r="H19" s="25">
        <v>3213559.51</v>
      </c>
      <c r="I19" s="25">
        <v>28816.78</v>
      </c>
      <c r="J19" s="25">
        <v>3780.6</v>
      </c>
      <c r="K19" s="25">
        <v>205547</v>
      </c>
      <c r="L19" s="26">
        <v>68784.183000000005</v>
      </c>
      <c r="M19" s="27">
        <v>0</v>
      </c>
      <c r="N19" s="28">
        <v>0</v>
      </c>
      <c r="O19" s="28">
        <v>0</v>
      </c>
      <c r="P19" s="29">
        <v>0</v>
      </c>
      <c r="Q19" s="47">
        <f t="shared" si="0"/>
        <v>0</v>
      </c>
      <c r="R19" s="48">
        <f t="shared" si="1"/>
        <v>0</v>
      </c>
      <c r="S19" s="49" t="e">
        <f t="shared" si="2"/>
        <v>#DIV/0!</v>
      </c>
    </row>
    <row r="20" spans="1:20" x14ac:dyDescent="0.25">
      <c r="A20" s="3" t="s">
        <v>58</v>
      </c>
      <c r="B20" s="5" t="s">
        <v>0</v>
      </c>
      <c r="C20" s="4" t="s">
        <v>22</v>
      </c>
      <c r="D20" s="4" t="s">
        <v>26</v>
      </c>
      <c r="E20" s="5" t="s">
        <v>1</v>
      </c>
      <c r="F20" s="4" t="s">
        <v>36</v>
      </c>
      <c r="G20" s="6">
        <v>21379072</v>
      </c>
      <c r="H20" s="7">
        <v>22377804.719999999</v>
      </c>
      <c r="I20" s="7">
        <v>278296.7</v>
      </c>
      <c r="J20" s="7">
        <v>452006.75</v>
      </c>
      <c r="K20" s="7">
        <v>1129236.25</v>
      </c>
      <c r="L20" s="8">
        <v>109023.978</v>
      </c>
      <c r="M20" s="9">
        <v>0</v>
      </c>
      <c r="N20" s="10">
        <v>0</v>
      </c>
      <c r="O20" s="10">
        <v>0</v>
      </c>
      <c r="P20" s="11">
        <v>0</v>
      </c>
      <c r="Q20" s="47">
        <f t="shared" si="0"/>
        <v>0</v>
      </c>
      <c r="R20" s="48">
        <f t="shared" si="1"/>
        <v>0</v>
      </c>
      <c r="S20" s="49" t="e">
        <f>R20/$T$2*$O$2</f>
        <v>#DIV/0!</v>
      </c>
      <c r="T20" s="48"/>
    </row>
    <row r="21" spans="1:20" x14ac:dyDescent="0.25">
      <c r="A21" s="12" t="s">
        <v>58</v>
      </c>
      <c r="B21" s="14" t="s">
        <v>0</v>
      </c>
      <c r="C21" s="13" t="s">
        <v>22</v>
      </c>
      <c r="D21" s="13" t="s">
        <v>26</v>
      </c>
      <c r="E21" s="14" t="s">
        <v>2</v>
      </c>
      <c r="F21" s="13" t="s">
        <v>34</v>
      </c>
      <c r="G21" s="15">
        <v>2100233</v>
      </c>
      <c r="H21" s="16">
        <v>2296569.0099999998</v>
      </c>
      <c r="I21" s="16">
        <v>2450.86</v>
      </c>
      <c r="J21" s="16">
        <v>22035.74</v>
      </c>
      <c r="K21" s="16">
        <v>112435</v>
      </c>
      <c r="L21" s="17">
        <v>16538.763999999999</v>
      </c>
      <c r="M21" s="18">
        <v>0</v>
      </c>
      <c r="N21" s="19">
        <v>0</v>
      </c>
      <c r="O21" s="19">
        <v>0</v>
      </c>
      <c r="P21" s="20">
        <v>0</v>
      </c>
      <c r="Q21" s="47">
        <f t="shared" si="0"/>
        <v>0</v>
      </c>
      <c r="R21" s="48">
        <f t="shared" si="1"/>
        <v>0</v>
      </c>
      <c r="S21" s="49" t="e">
        <f t="shared" ref="S21:S36" si="3">R21/$T$2*$O$2</f>
        <v>#DIV/0!</v>
      </c>
    </row>
    <row r="22" spans="1:20" x14ac:dyDescent="0.25">
      <c r="A22" s="12" t="s">
        <v>58</v>
      </c>
      <c r="B22" s="14" t="s">
        <v>0</v>
      </c>
      <c r="C22" s="13" t="s">
        <v>22</v>
      </c>
      <c r="D22" s="13" t="s">
        <v>26</v>
      </c>
      <c r="E22" s="14" t="s">
        <v>3</v>
      </c>
      <c r="F22" s="13" t="s">
        <v>35</v>
      </c>
      <c r="G22" s="15">
        <v>6000000</v>
      </c>
      <c r="H22" s="16">
        <v>8754757.2799999993</v>
      </c>
      <c r="I22" s="16">
        <v>2613.98</v>
      </c>
      <c r="J22" s="16">
        <v>11687.46</v>
      </c>
      <c r="K22" s="16">
        <v>881288</v>
      </c>
      <c r="L22" s="17">
        <v>4645.74</v>
      </c>
      <c r="M22" s="18">
        <v>0</v>
      </c>
      <c r="N22" s="19">
        <v>0</v>
      </c>
      <c r="O22" s="19">
        <v>0</v>
      </c>
      <c r="P22" s="20">
        <v>0</v>
      </c>
      <c r="Q22" s="47">
        <f t="shared" si="0"/>
        <v>0</v>
      </c>
      <c r="R22" s="48">
        <f t="shared" si="1"/>
        <v>0</v>
      </c>
      <c r="S22" s="49" t="e">
        <f t="shared" si="3"/>
        <v>#DIV/0!</v>
      </c>
    </row>
    <row r="23" spans="1:20" ht="15" customHeight="1" x14ac:dyDescent="0.25">
      <c r="A23" s="12" t="s">
        <v>58</v>
      </c>
      <c r="B23" s="14" t="s">
        <v>0</v>
      </c>
      <c r="C23" s="13" t="s">
        <v>22</v>
      </c>
      <c r="D23" s="13" t="s">
        <v>26</v>
      </c>
      <c r="E23" s="14" t="s">
        <v>4</v>
      </c>
      <c r="F23" s="13" t="s">
        <v>37</v>
      </c>
      <c r="G23" s="15">
        <v>3232951</v>
      </c>
      <c r="H23" s="16">
        <v>3156377.33</v>
      </c>
      <c r="I23" s="16">
        <v>8713.2800000000007</v>
      </c>
      <c r="J23" s="16">
        <v>96077.08</v>
      </c>
      <c r="K23" s="16">
        <v>193900</v>
      </c>
      <c r="L23" s="17">
        <v>22909.393</v>
      </c>
      <c r="M23" s="18">
        <v>0</v>
      </c>
      <c r="N23" s="19">
        <v>0</v>
      </c>
      <c r="O23" s="19">
        <v>0</v>
      </c>
      <c r="P23" s="20">
        <v>0</v>
      </c>
      <c r="Q23" s="47">
        <f t="shared" si="0"/>
        <v>0</v>
      </c>
      <c r="R23" s="48">
        <f t="shared" si="1"/>
        <v>0</v>
      </c>
      <c r="S23" s="49" t="e">
        <f t="shared" si="3"/>
        <v>#DIV/0!</v>
      </c>
    </row>
    <row r="24" spans="1:20" x14ac:dyDescent="0.25">
      <c r="A24" s="12" t="s">
        <v>58</v>
      </c>
      <c r="B24" s="14" t="s">
        <v>5</v>
      </c>
      <c r="C24" s="13" t="s">
        <v>23</v>
      </c>
      <c r="D24" s="13" t="s">
        <v>27</v>
      </c>
      <c r="E24" s="14" t="s">
        <v>6</v>
      </c>
      <c r="F24" s="13" t="s">
        <v>39</v>
      </c>
      <c r="G24" s="15">
        <v>8508152</v>
      </c>
      <c r="H24" s="16">
        <v>8782254.2200000007</v>
      </c>
      <c r="I24" s="16">
        <v>114550.21</v>
      </c>
      <c r="J24" s="16">
        <v>215004.99</v>
      </c>
      <c r="K24" s="16">
        <v>560636.86</v>
      </c>
      <c r="L24" s="17">
        <v>17399.486000000001</v>
      </c>
      <c r="M24" s="18">
        <v>0</v>
      </c>
      <c r="N24" s="19">
        <v>0</v>
      </c>
      <c r="O24" s="19">
        <v>0</v>
      </c>
      <c r="P24" s="20">
        <v>0</v>
      </c>
      <c r="Q24" s="47">
        <f t="shared" si="0"/>
        <v>0</v>
      </c>
      <c r="R24" s="48">
        <f t="shared" si="1"/>
        <v>0</v>
      </c>
      <c r="S24" s="49" t="e">
        <f t="shared" si="3"/>
        <v>#DIV/0!</v>
      </c>
    </row>
    <row r="25" spans="1:20" x14ac:dyDescent="0.25">
      <c r="A25" s="12" t="s">
        <v>58</v>
      </c>
      <c r="B25" s="14" t="s">
        <v>7</v>
      </c>
      <c r="C25" s="13" t="s">
        <v>21</v>
      </c>
      <c r="D25" s="13" t="s">
        <v>25</v>
      </c>
      <c r="E25" s="14" t="s">
        <v>8</v>
      </c>
      <c r="F25" s="13" t="s">
        <v>40</v>
      </c>
      <c r="G25" s="15">
        <v>6150356</v>
      </c>
      <c r="H25" s="16">
        <v>6331291.4800000004</v>
      </c>
      <c r="I25" s="16">
        <v>848.46</v>
      </c>
      <c r="J25" s="16">
        <v>55561.33</v>
      </c>
      <c r="K25" s="16">
        <v>357491.39</v>
      </c>
      <c r="L25" s="17">
        <v>7466.04</v>
      </c>
      <c r="M25" s="18">
        <v>0</v>
      </c>
      <c r="N25" s="19">
        <v>0</v>
      </c>
      <c r="O25" s="19">
        <v>0</v>
      </c>
      <c r="P25" s="20">
        <v>0</v>
      </c>
      <c r="Q25" s="47">
        <f t="shared" si="0"/>
        <v>0</v>
      </c>
      <c r="R25" s="48">
        <f t="shared" si="1"/>
        <v>0</v>
      </c>
      <c r="S25" s="49" t="e">
        <f t="shared" si="3"/>
        <v>#DIV/0!</v>
      </c>
    </row>
    <row r="26" spans="1:20" x14ac:dyDescent="0.25">
      <c r="A26" s="12" t="s">
        <v>58</v>
      </c>
      <c r="B26" s="14" t="s">
        <v>9</v>
      </c>
      <c r="C26" s="13" t="s">
        <v>24</v>
      </c>
      <c r="D26" s="13" t="s">
        <v>28</v>
      </c>
      <c r="E26" s="14" t="s">
        <v>10</v>
      </c>
      <c r="F26" s="13" t="s">
        <v>41</v>
      </c>
      <c r="G26" s="15">
        <v>15306555</v>
      </c>
      <c r="H26" s="16">
        <v>15570538.48</v>
      </c>
      <c r="I26" s="16">
        <v>175447.9</v>
      </c>
      <c r="J26" s="16">
        <v>272389.03000000003</v>
      </c>
      <c r="K26" s="16">
        <v>787796.12</v>
      </c>
      <c r="L26" s="17">
        <v>30519.866999999998</v>
      </c>
      <c r="M26" s="18">
        <v>0</v>
      </c>
      <c r="N26" s="19">
        <v>0</v>
      </c>
      <c r="O26" s="19">
        <v>0</v>
      </c>
      <c r="P26" s="20">
        <v>0</v>
      </c>
      <c r="Q26" s="47">
        <f t="shared" si="0"/>
        <v>0</v>
      </c>
      <c r="R26" s="48">
        <f t="shared" si="1"/>
        <v>0</v>
      </c>
      <c r="S26" s="49" t="e">
        <f t="shared" si="3"/>
        <v>#DIV/0!</v>
      </c>
    </row>
    <row r="27" spans="1:20" x14ac:dyDescent="0.25">
      <c r="A27" s="12" t="s">
        <v>58</v>
      </c>
      <c r="B27" s="14" t="s">
        <v>9</v>
      </c>
      <c r="C27" s="13" t="s">
        <v>24</v>
      </c>
      <c r="D27" s="13" t="s">
        <v>28</v>
      </c>
      <c r="E27" s="14" t="s">
        <v>11</v>
      </c>
      <c r="F27" s="13" t="s">
        <v>38</v>
      </c>
      <c r="G27" s="15">
        <v>3762746</v>
      </c>
      <c r="H27" s="16">
        <v>3787951.38</v>
      </c>
      <c r="I27" s="16">
        <v>46493.04</v>
      </c>
      <c r="J27" s="16">
        <v>76596.06</v>
      </c>
      <c r="K27" s="16">
        <v>218845.31</v>
      </c>
      <c r="L27" s="17">
        <v>7222.8</v>
      </c>
      <c r="M27" s="18">
        <v>0</v>
      </c>
      <c r="N27" s="19">
        <v>0</v>
      </c>
      <c r="O27" s="19">
        <v>0</v>
      </c>
      <c r="P27" s="20">
        <v>0</v>
      </c>
      <c r="Q27" s="47">
        <f t="shared" si="0"/>
        <v>0</v>
      </c>
      <c r="R27" s="48">
        <f t="shared" si="1"/>
        <v>0</v>
      </c>
      <c r="S27" s="49" t="e">
        <f t="shared" si="3"/>
        <v>#DIV/0!</v>
      </c>
    </row>
    <row r="28" spans="1:20" x14ac:dyDescent="0.25">
      <c r="A28" s="12" t="s">
        <v>58</v>
      </c>
      <c r="B28" s="14" t="s">
        <v>9</v>
      </c>
      <c r="C28" s="13" t="s">
        <v>24</v>
      </c>
      <c r="D28" s="13" t="s">
        <v>28</v>
      </c>
      <c r="E28" s="14" t="s">
        <v>12</v>
      </c>
      <c r="F28" s="13" t="s">
        <v>42</v>
      </c>
      <c r="G28" s="15">
        <v>18026002</v>
      </c>
      <c r="H28" s="16">
        <v>19295921.5</v>
      </c>
      <c r="I28" s="16">
        <v>173219.16</v>
      </c>
      <c r="J28" s="16">
        <v>10841.97</v>
      </c>
      <c r="K28" s="16">
        <v>918662.31</v>
      </c>
      <c r="L28" s="17">
        <v>19952.25</v>
      </c>
      <c r="M28" s="18">
        <v>0</v>
      </c>
      <c r="N28" s="19">
        <v>0</v>
      </c>
      <c r="O28" s="19">
        <v>0</v>
      </c>
      <c r="P28" s="20">
        <v>0</v>
      </c>
      <c r="Q28" s="47">
        <f t="shared" si="0"/>
        <v>0</v>
      </c>
      <c r="R28" s="48">
        <f t="shared" si="1"/>
        <v>0</v>
      </c>
      <c r="S28" s="49" t="e">
        <f t="shared" si="3"/>
        <v>#DIV/0!</v>
      </c>
    </row>
    <row r="29" spans="1:20" x14ac:dyDescent="0.25">
      <c r="A29" s="12" t="s">
        <v>58</v>
      </c>
      <c r="B29" s="14" t="s">
        <v>9</v>
      </c>
      <c r="C29" s="13" t="s">
        <v>24</v>
      </c>
      <c r="D29" s="13" t="s">
        <v>28</v>
      </c>
      <c r="E29" s="14" t="s">
        <v>13</v>
      </c>
      <c r="F29" s="13" t="s">
        <v>43</v>
      </c>
      <c r="G29" s="15">
        <v>21282486</v>
      </c>
      <c r="H29" s="16">
        <v>21928287.18</v>
      </c>
      <c r="I29" s="16">
        <v>245143.75</v>
      </c>
      <c r="J29" s="16">
        <v>258047.3</v>
      </c>
      <c r="K29" s="16">
        <v>1075360.1000000001</v>
      </c>
      <c r="L29" s="17">
        <v>30274.82</v>
      </c>
      <c r="M29" s="18">
        <v>0</v>
      </c>
      <c r="N29" s="19">
        <v>0</v>
      </c>
      <c r="O29" s="19">
        <v>0</v>
      </c>
      <c r="P29" s="20">
        <v>0</v>
      </c>
      <c r="Q29" s="47">
        <f t="shared" si="0"/>
        <v>0</v>
      </c>
      <c r="R29" s="48">
        <f t="shared" si="1"/>
        <v>0</v>
      </c>
      <c r="S29" s="49" t="e">
        <f t="shared" si="3"/>
        <v>#DIV/0!</v>
      </c>
    </row>
    <row r="30" spans="1:20" s="63" customFormat="1" x14ac:dyDescent="0.25">
      <c r="A30" s="51" t="s">
        <v>58</v>
      </c>
      <c r="B30" s="52" t="s">
        <v>9</v>
      </c>
      <c r="C30" s="53" t="s">
        <v>24</v>
      </c>
      <c r="D30" s="53" t="s">
        <v>28</v>
      </c>
      <c r="E30" s="52" t="s">
        <v>14</v>
      </c>
      <c r="F30" s="53" t="s">
        <v>44</v>
      </c>
      <c r="G30" s="54">
        <v>16421348</v>
      </c>
      <c r="H30" s="55">
        <v>16592421.289999999</v>
      </c>
      <c r="I30" s="55">
        <v>166414.34</v>
      </c>
      <c r="J30" s="55">
        <v>21085.25</v>
      </c>
      <c r="K30" s="55">
        <v>775214.89</v>
      </c>
      <c r="L30" s="56">
        <v>24702.48</v>
      </c>
      <c r="M30" s="57">
        <v>0</v>
      </c>
      <c r="N30" s="58">
        <v>0</v>
      </c>
      <c r="O30" s="58">
        <v>0</v>
      </c>
      <c r="P30" s="59">
        <v>0</v>
      </c>
      <c r="Q30" s="60">
        <f t="shared" si="0"/>
        <v>0</v>
      </c>
      <c r="R30" s="61">
        <f t="shared" si="1"/>
        <v>0</v>
      </c>
      <c r="S30" s="62" t="e">
        <f t="shared" si="3"/>
        <v>#DIV/0!</v>
      </c>
    </row>
    <row r="31" spans="1:20" x14ac:dyDescent="0.25">
      <c r="A31" s="12" t="s">
        <v>58</v>
      </c>
      <c r="B31" s="14" t="s">
        <v>9</v>
      </c>
      <c r="C31" s="13" t="s">
        <v>24</v>
      </c>
      <c r="D31" s="13" t="s">
        <v>28</v>
      </c>
      <c r="E31" s="14" t="s">
        <v>15</v>
      </c>
      <c r="F31" s="13" t="s">
        <v>45</v>
      </c>
      <c r="G31" s="15">
        <v>24394317</v>
      </c>
      <c r="H31" s="16">
        <v>24732366.73</v>
      </c>
      <c r="I31" s="16">
        <v>138177.79</v>
      </c>
      <c r="J31" s="16">
        <v>19775.87</v>
      </c>
      <c r="K31" s="16">
        <v>949887.36</v>
      </c>
      <c r="L31" s="17">
        <v>20745.919999999998</v>
      </c>
      <c r="M31" s="18">
        <v>0</v>
      </c>
      <c r="N31" s="19">
        <v>0</v>
      </c>
      <c r="O31" s="19">
        <v>0</v>
      </c>
      <c r="P31" s="20">
        <v>0</v>
      </c>
      <c r="Q31" s="47">
        <f t="shared" si="0"/>
        <v>0</v>
      </c>
      <c r="R31" s="48">
        <f t="shared" si="1"/>
        <v>0</v>
      </c>
      <c r="S31" s="49" t="e">
        <f t="shared" si="3"/>
        <v>#DIV/0!</v>
      </c>
    </row>
    <row r="32" spans="1:20" x14ac:dyDescent="0.25">
      <c r="A32" s="12" t="s">
        <v>58</v>
      </c>
      <c r="B32" s="14" t="s">
        <v>9</v>
      </c>
      <c r="C32" s="13" t="s">
        <v>24</v>
      </c>
      <c r="D32" s="13" t="s">
        <v>28</v>
      </c>
      <c r="E32" s="14" t="s">
        <v>16</v>
      </c>
      <c r="F32" s="13" t="s">
        <v>46</v>
      </c>
      <c r="G32" s="15">
        <v>7182566</v>
      </c>
      <c r="H32" s="16">
        <v>6727481.3700000001</v>
      </c>
      <c r="I32" s="16">
        <v>85377.279999999999</v>
      </c>
      <c r="J32" s="16">
        <v>167922.88</v>
      </c>
      <c r="K32" s="16">
        <v>464714.09</v>
      </c>
      <c r="L32" s="17">
        <v>54583.16</v>
      </c>
      <c r="M32" s="18">
        <v>0</v>
      </c>
      <c r="N32" s="19">
        <v>0</v>
      </c>
      <c r="O32" s="19">
        <v>0</v>
      </c>
      <c r="P32" s="20">
        <v>0</v>
      </c>
      <c r="Q32" s="47">
        <f t="shared" si="0"/>
        <v>0</v>
      </c>
      <c r="R32" s="48">
        <f t="shared" si="1"/>
        <v>0</v>
      </c>
      <c r="S32" s="49" t="e">
        <f t="shared" si="3"/>
        <v>#DIV/0!</v>
      </c>
    </row>
    <row r="33" spans="1:19" x14ac:dyDescent="0.25">
      <c r="A33" s="12" t="s">
        <v>58</v>
      </c>
      <c r="B33" s="14" t="s">
        <v>9</v>
      </c>
      <c r="C33" s="13" t="s">
        <v>24</v>
      </c>
      <c r="D33" s="13" t="s">
        <v>28</v>
      </c>
      <c r="E33" s="14" t="s">
        <v>17</v>
      </c>
      <c r="F33" s="13" t="s">
        <v>47</v>
      </c>
      <c r="G33" s="15">
        <v>28067946</v>
      </c>
      <c r="H33" s="16">
        <v>30236809.890000001</v>
      </c>
      <c r="I33" s="16">
        <v>235038.9</v>
      </c>
      <c r="J33" s="16">
        <v>405668.69</v>
      </c>
      <c r="K33" s="16">
        <v>1233206.29</v>
      </c>
      <c r="L33" s="17">
        <v>30542.98</v>
      </c>
      <c r="M33" s="18">
        <v>0</v>
      </c>
      <c r="N33" s="19">
        <v>0</v>
      </c>
      <c r="O33" s="19">
        <v>0</v>
      </c>
      <c r="P33" s="20">
        <v>0</v>
      </c>
      <c r="Q33" s="47">
        <f t="shared" si="0"/>
        <v>0</v>
      </c>
      <c r="R33" s="48">
        <f t="shared" si="1"/>
        <v>0</v>
      </c>
      <c r="S33" s="49" t="e">
        <f t="shared" si="3"/>
        <v>#DIV/0!</v>
      </c>
    </row>
    <row r="34" spans="1:19" x14ac:dyDescent="0.25">
      <c r="A34" s="12" t="s">
        <v>58</v>
      </c>
      <c r="B34" s="14" t="s">
        <v>9</v>
      </c>
      <c r="C34" s="13" t="s">
        <v>24</v>
      </c>
      <c r="D34" s="13" t="s">
        <v>28</v>
      </c>
      <c r="E34" s="14" t="s">
        <v>18</v>
      </c>
      <c r="F34" s="13" t="s">
        <v>48</v>
      </c>
      <c r="G34" s="15">
        <v>15369836</v>
      </c>
      <c r="H34" s="16">
        <v>16641580.289999999</v>
      </c>
      <c r="I34" s="16">
        <v>146123.65</v>
      </c>
      <c r="J34" s="16">
        <v>275905.56</v>
      </c>
      <c r="K34" s="16">
        <v>824999.73</v>
      </c>
      <c r="L34" s="17">
        <v>23503.42</v>
      </c>
      <c r="M34" s="18">
        <v>0</v>
      </c>
      <c r="N34" s="19">
        <v>0</v>
      </c>
      <c r="O34" s="19">
        <v>0</v>
      </c>
      <c r="P34" s="20">
        <v>0</v>
      </c>
      <c r="Q34" s="47">
        <f t="shared" si="0"/>
        <v>0</v>
      </c>
      <c r="R34" s="48">
        <f t="shared" si="1"/>
        <v>0</v>
      </c>
      <c r="S34" s="49" t="e">
        <f t="shared" si="3"/>
        <v>#DIV/0!</v>
      </c>
    </row>
    <row r="35" spans="1:19" x14ac:dyDescent="0.25">
      <c r="A35" s="12" t="s">
        <v>58</v>
      </c>
      <c r="B35" s="14" t="s">
        <v>9</v>
      </c>
      <c r="C35" s="13" t="s">
        <v>24</v>
      </c>
      <c r="D35" s="13" t="s">
        <v>28</v>
      </c>
      <c r="E35" s="14" t="s">
        <v>19</v>
      </c>
      <c r="F35" s="13" t="s">
        <v>49</v>
      </c>
      <c r="G35" s="15">
        <v>1092201</v>
      </c>
      <c r="H35" s="16">
        <v>1178225.1299999999</v>
      </c>
      <c r="I35" s="16">
        <v>14922.41</v>
      </c>
      <c r="J35" s="16"/>
      <c r="K35" s="16">
        <v>64147.12</v>
      </c>
      <c r="L35" s="17">
        <v>4881.04</v>
      </c>
      <c r="M35" s="18">
        <v>0</v>
      </c>
      <c r="N35" s="19">
        <v>0</v>
      </c>
      <c r="O35" s="19">
        <v>0</v>
      </c>
      <c r="P35" s="20">
        <v>0</v>
      </c>
      <c r="Q35" s="47">
        <f t="shared" si="0"/>
        <v>0</v>
      </c>
      <c r="R35" s="48">
        <f t="shared" si="1"/>
        <v>0</v>
      </c>
      <c r="S35" s="49" t="e">
        <f t="shared" si="3"/>
        <v>#DIV/0!</v>
      </c>
    </row>
    <row r="36" spans="1:19" ht="15.75" thickBot="1" x14ac:dyDescent="0.3">
      <c r="A36" s="21" t="s">
        <v>58</v>
      </c>
      <c r="B36" s="23" t="s">
        <v>9</v>
      </c>
      <c r="C36" s="22" t="s">
        <v>24</v>
      </c>
      <c r="D36" s="22" t="s">
        <v>28</v>
      </c>
      <c r="E36" s="23" t="s">
        <v>20</v>
      </c>
      <c r="F36" s="22" t="s">
        <v>50</v>
      </c>
      <c r="G36" s="24">
        <v>2861224</v>
      </c>
      <c r="H36" s="25">
        <v>3227731.96</v>
      </c>
      <c r="I36" s="25">
        <v>45634.55</v>
      </c>
      <c r="J36" s="25">
        <v>68818.87</v>
      </c>
      <c r="K36" s="25">
        <v>189660.15</v>
      </c>
      <c r="L36" s="26">
        <v>5190.9679999999998</v>
      </c>
      <c r="M36" s="27">
        <v>0</v>
      </c>
      <c r="N36" s="28">
        <v>0</v>
      </c>
      <c r="O36" s="28">
        <v>0</v>
      </c>
      <c r="P36" s="29">
        <v>0</v>
      </c>
      <c r="Q36" s="47">
        <f t="shared" si="0"/>
        <v>0</v>
      </c>
      <c r="R36" s="48">
        <f t="shared" si="1"/>
        <v>0</v>
      </c>
      <c r="S36" s="49" t="e">
        <f t="shared" si="3"/>
        <v>#DIV/0!</v>
      </c>
    </row>
  </sheetData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Володимир Литвиновський</dc:creator>
  <cp:lastModifiedBy>Володимир Литвиновський</cp:lastModifiedBy>
  <dcterms:created xsi:type="dcterms:W3CDTF">2025-08-14T16:18:27Z</dcterms:created>
  <dcterms:modified xsi:type="dcterms:W3CDTF">2025-08-21T10:27:52Z</dcterms:modified>
</cp:coreProperties>
</file>